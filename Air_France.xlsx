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tuunivpoitiersfr-my.sharepoint.com/personal/alexan_ravonneaux_etu_univ-poitiers_fr/Documents/Série temp ali/"/>
    </mc:Choice>
  </mc:AlternateContent>
  <xr:revisionPtr revIDLastSave="1" documentId="13_ncr:1_{D4EDB98A-F176-4439-8592-3CA40C350041}" xr6:coauthVersionLast="47" xr6:coauthVersionMax="47" xr10:uidLastSave="{DDCAAAAF-567B-456A-8E3D-D2655C49498C}"/>
  <bookViews>
    <workbookView xWindow="-120" yWindow="-120" windowWidth="25440" windowHeight="15270" xr2:uid="{49EFCD9C-2101-42DF-AF79-4C4F9CA16EBD}"/>
  </bookViews>
  <sheets>
    <sheet name="Air_Fr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7" i="1" l="1"/>
  <c r="K28" i="1"/>
  <c r="K29" i="1"/>
  <c r="K30" i="1"/>
  <c r="K31" i="1"/>
  <c r="K32" i="1"/>
  <c r="J27" i="1"/>
  <c r="J28" i="1"/>
  <c r="J29" i="1"/>
  <c r="J30" i="1"/>
  <c r="J31" i="1"/>
  <c r="J3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3" i="1"/>
  <c r="R2" i="1"/>
  <c r="J3" i="1" s="1"/>
  <c r="J12" i="1"/>
  <c r="J13" i="1"/>
  <c r="J14" i="1"/>
  <c r="J19" i="1"/>
  <c r="J21" i="1"/>
  <c r="J22" i="1"/>
  <c r="J23" i="1"/>
  <c r="C1" i="1"/>
  <c r="D1" i="1"/>
  <c r="R1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F7" i="1"/>
  <c r="F11" i="1"/>
  <c r="F19" i="1"/>
  <c r="F20" i="1"/>
  <c r="E7" i="1"/>
  <c r="E8" i="1"/>
  <c r="F8" i="1" s="1"/>
  <c r="E9" i="1"/>
  <c r="F9" i="1" s="1"/>
  <c r="E10" i="1"/>
  <c r="F10" i="1" s="1"/>
  <c r="E11" i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E20" i="1"/>
  <c r="E21" i="1"/>
  <c r="F21" i="1" s="1"/>
  <c r="E22" i="1"/>
  <c r="F22" i="1" s="1"/>
  <c r="E23" i="1"/>
  <c r="F23" i="1" s="1"/>
  <c r="E6" i="1"/>
  <c r="F6" i="1" s="1"/>
  <c r="G6" i="1" s="1"/>
  <c r="J11" i="1" l="1"/>
  <c r="J10" i="1"/>
  <c r="J26" i="1"/>
  <c r="J9" i="1"/>
  <c r="J25" i="1"/>
  <c r="J7" i="1"/>
  <c r="J24" i="1"/>
  <c r="J20" i="1"/>
  <c r="J8" i="1"/>
  <c r="J18" i="1"/>
  <c r="J6" i="1"/>
  <c r="J17" i="1"/>
  <c r="J5" i="1"/>
  <c r="J16" i="1"/>
  <c r="J4" i="1"/>
  <c r="J15" i="1"/>
  <c r="G3" i="1"/>
  <c r="G4" i="1"/>
  <c r="G5" i="1"/>
  <c r="G8" i="1"/>
  <c r="G7" i="1"/>
  <c r="G1" i="1" l="1"/>
  <c r="H3" i="1"/>
</calcChain>
</file>

<file path=xl/sharedStrings.xml><?xml version="1.0" encoding="utf-8"?>
<sst xmlns="http://schemas.openxmlformats.org/spreadsheetml/2006/main" count="43" uniqueCount="20">
  <si>
    <t>Année</t>
  </si>
  <si>
    <t>Mois</t>
  </si>
  <si>
    <t>Y</t>
  </si>
  <si>
    <t>Jan-Fév</t>
  </si>
  <si>
    <t>Mars-Avr</t>
  </si>
  <si>
    <t>Mai-Juin</t>
  </si>
  <si>
    <t>Jui-Aout</t>
  </si>
  <si>
    <t>Sept.-Oct</t>
  </si>
  <si>
    <t>Nov-Déc</t>
  </si>
  <si>
    <t>-</t>
  </si>
  <si>
    <t>MM6</t>
  </si>
  <si>
    <t>t</t>
  </si>
  <si>
    <t>st = Y - MM6</t>
  </si>
  <si>
    <t>ST</t>
  </si>
  <si>
    <t>S't</t>
  </si>
  <si>
    <t>ft</t>
  </si>
  <si>
    <t>a</t>
  </si>
  <si>
    <t>b de la CVS</t>
  </si>
  <si>
    <t>y^= ft+S't</t>
  </si>
  <si>
    <t>CVS y-S't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</si>
</sst>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2" fontId="0" fillId="2" borderId="1" xfId="0" applyNumberFormat="1" applyFill="1" applyBorder="1"/>
    <xf numFmtId="2" fontId="0" fillId="2" borderId="2" xfId="0" applyNumberFormat="1" applyFill="1" applyBorder="1"/>
    <xf numFmtId="2" fontId="0" fillId="2" borderId="3" xfId="0" applyNumberForma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trafic aérien et prédiction spour 2006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Air_France!$C$2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Air_France!$D$3:$D$32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Air_France!$C$3:$C$26</c:f>
              <c:numCache>
                <c:formatCode>General</c:formatCode>
                <c:ptCount val="24"/>
                <c:pt idx="0">
                  <c:v>13.3</c:v>
                </c:pt>
                <c:pt idx="1">
                  <c:v>15.1</c:v>
                </c:pt>
                <c:pt idx="2">
                  <c:v>14.8</c:v>
                </c:pt>
                <c:pt idx="3">
                  <c:v>16.3</c:v>
                </c:pt>
                <c:pt idx="4">
                  <c:v>14.8</c:v>
                </c:pt>
                <c:pt idx="5">
                  <c:v>14.2</c:v>
                </c:pt>
                <c:pt idx="6">
                  <c:v>13.8</c:v>
                </c:pt>
                <c:pt idx="7">
                  <c:v>14.2</c:v>
                </c:pt>
                <c:pt idx="8">
                  <c:v>14.1</c:v>
                </c:pt>
                <c:pt idx="9">
                  <c:v>17</c:v>
                </c:pt>
                <c:pt idx="10">
                  <c:v>15.2</c:v>
                </c:pt>
                <c:pt idx="11">
                  <c:v>14.8</c:v>
                </c:pt>
                <c:pt idx="12">
                  <c:v>14.4</c:v>
                </c:pt>
                <c:pt idx="13">
                  <c:v>16</c:v>
                </c:pt>
                <c:pt idx="14">
                  <c:v>16.2</c:v>
                </c:pt>
                <c:pt idx="15">
                  <c:v>18.5</c:v>
                </c:pt>
                <c:pt idx="16">
                  <c:v>16.2</c:v>
                </c:pt>
                <c:pt idx="17">
                  <c:v>15.3</c:v>
                </c:pt>
                <c:pt idx="18">
                  <c:v>15.4</c:v>
                </c:pt>
                <c:pt idx="19">
                  <c:v>16.8</c:v>
                </c:pt>
                <c:pt idx="20">
                  <c:v>17.399999999999999</c:v>
                </c:pt>
                <c:pt idx="21">
                  <c:v>19.899999999999999</c:v>
                </c:pt>
                <c:pt idx="22">
                  <c:v>17.899999999999999</c:v>
                </c:pt>
                <c:pt idx="23">
                  <c:v>17.399999999999999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AB-41A9-8C34-DAB53965A275}"/>
            </c:ext>
          </c:extLst>
        </c:ser>
        <c:ser>
          <c:idx val="2"/>
          <c:order val="1"/>
          <c:tx>
            <c:strRef>
              <c:f>Air_France!$I$2</c:f>
              <c:strCache>
                <c:ptCount val="1"/>
                <c:pt idx="0">
                  <c:v>CVS y-S't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Air_France!$D$3:$D$32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Air_France!$I$3:$I$26</c:f>
              <c:numCache>
                <c:formatCode>0.00</c:formatCode>
                <c:ptCount val="24"/>
                <c:pt idx="0">
                  <c:v>14.40787037037037</c:v>
                </c:pt>
                <c:pt idx="1">
                  <c:v>15.260648148148148</c:v>
                </c:pt>
                <c:pt idx="2">
                  <c:v>14.902314814814815</c:v>
                </c:pt>
                <c:pt idx="3">
                  <c:v>14.277314814814815</c:v>
                </c:pt>
                <c:pt idx="4">
                  <c:v>14.749537037037038</c:v>
                </c:pt>
                <c:pt idx="5">
                  <c:v>14.902314814814813</c:v>
                </c:pt>
                <c:pt idx="6">
                  <c:v>14.907870370370375</c:v>
                </c:pt>
                <c:pt idx="7">
                  <c:v>14.360648148148147</c:v>
                </c:pt>
                <c:pt idx="8">
                  <c:v>14.202314814814814</c:v>
                </c:pt>
                <c:pt idx="9">
                  <c:v>14.977314814814815</c:v>
                </c:pt>
                <c:pt idx="10">
                  <c:v>15.149537037037037</c:v>
                </c:pt>
                <c:pt idx="11">
                  <c:v>15.502314814814815</c:v>
                </c:pt>
                <c:pt idx="12">
                  <c:v>15.50787037037037</c:v>
                </c:pt>
                <c:pt idx="13">
                  <c:v>16.160648148148148</c:v>
                </c:pt>
                <c:pt idx="14">
                  <c:v>16.302314814814814</c:v>
                </c:pt>
                <c:pt idx="15">
                  <c:v>16.477314814814815</c:v>
                </c:pt>
                <c:pt idx="16">
                  <c:v>16.149537037037039</c:v>
                </c:pt>
                <c:pt idx="17">
                  <c:v>16.002314814814813</c:v>
                </c:pt>
                <c:pt idx="18">
                  <c:v>16.50787037037037</c:v>
                </c:pt>
                <c:pt idx="19">
                  <c:v>16.960648148148149</c:v>
                </c:pt>
                <c:pt idx="20">
                  <c:v>17.502314814814813</c:v>
                </c:pt>
                <c:pt idx="21">
                  <c:v>17.877314814814813</c:v>
                </c:pt>
                <c:pt idx="22">
                  <c:v>17.849537037037038</c:v>
                </c:pt>
                <c:pt idx="23">
                  <c:v>18.102314814814811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AB-41A9-8C34-DAB53965A275}"/>
            </c:ext>
          </c:extLst>
        </c:ser>
        <c:ser>
          <c:idx val="3"/>
          <c:order val="2"/>
          <c:tx>
            <c:strRef>
              <c:f>Air_France!$K$2</c:f>
              <c:strCache>
                <c:ptCount val="1"/>
                <c:pt idx="0">
                  <c:v>y^= ft+S't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Air_France!$D$3:$D$32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Air_France!$K$3:$K$32</c:f>
              <c:numCache>
                <c:formatCode>0.00</c:formatCode>
                <c:ptCount val="30"/>
                <c:pt idx="0">
                  <c:v>12.899842190016106</c:v>
                </c:pt>
                <c:pt idx="1">
                  <c:v>14.011238325281804</c:v>
                </c:pt>
                <c:pt idx="2">
                  <c:v>14.233745571658616</c:v>
                </c:pt>
                <c:pt idx="3">
                  <c:v>16.522919484702093</c:v>
                </c:pt>
                <c:pt idx="4">
                  <c:v>14.714871175523349</c:v>
                </c:pt>
                <c:pt idx="5">
                  <c:v>14.126267310789052</c:v>
                </c:pt>
                <c:pt idx="6">
                  <c:v>13.884885668276969</c:v>
                </c:pt>
                <c:pt idx="7">
                  <c:v>14.996281803542674</c:v>
                </c:pt>
                <c:pt idx="8">
                  <c:v>15.218789049919485</c:v>
                </c:pt>
                <c:pt idx="9">
                  <c:v>17.507962962962964</c:v>
                </c:pt>
                <c:pt idx="10">
                  <c:v>15.699914653784218</c:v>
                </c:pt>
                <c:pt idx="11">
                  <c:v>15.11131078904992</c:v>
                </c:pt>
                <c:pt idx="12">
                  <c:v>14.869929146537844</c:v>
                </c:pt>
                <c:pt idx="13">
                  <c:v>15.981325281803542</c:v>
                </c:pt>
                <c:pt idx="14">
                  <c:v>16.203832528180353</c:v>
                </c:pt>
                <c:pt idx="15">
                  <c:v>18.493006441223834</c:v>
                </c:pt>
                <c:pt idx="16">
                  <c:v>16.684958132045086</c:v>
                </c:pt>
                <c:pt idx="17">
                  <c:v>16.09635426731079</c:v>
                </c:pt>
                <c:pt idx="18">
                  <c:v>15.854972624798714</c:v>
                </c:pt>
                <c:pt idx="19">
                  <c:v>16.966368760064412</c:v>
                </c:pt>
                <c:pt idx="20">
                  <c:v>17.188876006441223</c:v>
                </c:pt>
                <c:pt idx="21">
                  <c:v>19.4780499194847</c:v>
                </c:pt>
                <c:pt idx="22">
                  <c:v>17.670001610305956</c:v>
                </c:pt>
                <c:pt idx="23">
                  <c:v>17.08139774557166</c:v>
                </c:pt>
                <c:pt idx="24">
                  <c:v>16.792330917874398</c:v>
                </c:pt>
                <c:pt idx="25">
                  <c:v>17.903727053140095</c:v>
                </c:pt>
                <c:pt idx="26">
                  <c:v>18.126234299516906</c:v>
                </c:pt>
                <c:pt idx="27">
                  <c:v>20.415408212560386</c:v>
                </c:pt>
                <c:pt idx="28">
                  <c:v>18.607359903381639</c:v>
                </c:pt>
                <c:pt idx="29">
                  <c:v>18.018756038647343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AB-41A9-8C34-DAB53965A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7672783"/>
        <c:axId val="1377671535"/>
      </c:lineChart>
      <c:catAx>
        <c:axId val="137767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7671535"/>
        <c:crosses val="autoZero"/>
        <c:auto val="1"/>
        <c:lblAlgn val="ctr"/>
        <c:lblOffset val="100"/>
        <c:noMultiLvlLbl val="0"/>
      </c:catAx>
      <c:valAx>
        <c:axId val="137767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767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257175</xdr:colOff>
      <xdr:row>6</xdr:row>
      <xdr:rowOff>219075</xdr:rowOff>
    </xdr:from>
    <xdr:to>
      <xdr:col>20</xdr:col>
      <xdr:colOff>238125</xdr:colOff>
      <xdr:row>23</xdr:row>
      <xdr:rowOff>4762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322F612-A6B3-4688-8540-CBB2FAED0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484D-86A3-4CD3-8DE3-08253C0EACA3}">
  <dimension ref="A1:R32"/>
  <sheetViews>
    <sheetView tabSelected="1" topLeftCell="A4" workbookViewId="0">
      <selection activeCell="O4" sqref="O4"/>
    </sheetView>
  </sheetViews>
  <sheetFormatPr baseColWidth="10" defaultRowHeight="15" x14ac:dyDescent="0.25"/>
  <cols>
    <col min="6" max="6" width="15.28515625" customWidth="1"/>
  </cols>
  <sheetData>
    <row r="1" spans="1:18" x14ac:dyDescent="0.25">
      <c r="B1" s="7"/>
      <c r="C1" s="7">
        <f t="shared" ref="B1:F1" si="0">AVERAGE(C3:C26)</f>
        <v>15.791666666666663</v>
      </c>
      <c r="D1" s="7">
        <f t="shared" si="0"/>
        <v>12.5</v>
      </c>
      <c r="E1" s="7"/>
      <c r="F1" s="7"/>
      <c r="G1" s="7">
        <f>AVERAGE(G3:G26)</f>
        <v>-4.7685185185185629E-2</v>
      </c>
      <c r="Q1" t="s">
        <v>16</v>
      </c>
      <c r="R1">
        <f>(_xlfn.COVARIANCE.P(C3:C26,D3:D26))/VARP(D3:D26)</f>
        <v>0.16417391304347823</v>
      </c>
    </row>
    <row r="2" spans="1:18" ht="19.5" thickBot="1" x14ac:dyDescent="0.35">
      <c r="A2" s="1" t="s">
        <v>0</v>
      </c>
      <c r="B2" s="2" t="s">
        <v>1</v>
      </c>
      <c r="C2" s="2" t="s">
        <v>2</v>
      </c>
      <c r="D2" s="2" t="s">
        <v>11</v>
      </c>
      <c r="E2" t="s">
        <v>10</v>
      </c>
      <c r="F2" s="2" t="s">
        <v>12</v>
      </c>
      <c r="G2" s="2" t="s">
        <v>13</v>
      </c>
      <c r="H2" s="2" t="s">
        <v>14</v>
      </c>
      <c r="I2" s="2" t="s">
        <v>19</v>
      </c>
      <c r="J2" s="2" t="s">
        <v>15</v>
      </c>
      <c r="K2" s="2" t="s">
        <v>18</v>
      </c>
      <c r="Q2" t="s">
        <v>17</v>
      </c>
      <c r="R2">
        <f>INTERCEPT(I3:I26,D3:D26)</f>
        <v>13.843538647342996</v>
      </c>
    </row>
    <row r="3" spans="1:18" ht="18.75" x14ac:dyDescent="0.3">
      <c r="A3" s="1">
        <v>2002</v>
      </c>
      <c r="B3" s="2" t="s">
        <v>3</v>
      </c>
      <c r="C3" s="2">
        <v>13.3</v>
      </c>
      <c r="D3" s="2">
        <v>1</v>
      </c>
      <c r="E3" s="3" t="s">
        <v>9</v>
      </c>
      <c r="G3" s="4">
        <f>AVERAGE(F3,F9,F15,F21)</f>
        <v>-1.155555555555555</v>
      </c>
      <c r="H3" s="7">
        <f>G3-G$1</f>
        <v>-1.1078703703703694</v>
      </c>
      <c r="I3" s="7">
        <f>C3-H3</f>
        <v>14.40787037037037</v>
      </c>
      <c r="J3">
        <f>$R$1*D3+$R$2</f>
        <v>14.007712560386475</v>
      </c>
      <c r="K3" s="7">
        <f>J3+H3</f>
        <v>12.899842190016106</v>
      </c>
    </row>
    <row r="4" spans="1:18" ht="18.75" x14ac:dyDescent="0.3">
      <c r="A4" s="1"/>
      <c r="B4" s="2" t="s">
        <v>4</v>
      </c>
      <c r="C4" s="2">
        <v>15.1</v>
      </c>
      <c r="D4" s="2">
        <v>2</v>
      </c>
      <c r="E4" s="3" t="s">
        <v>9</v>
      </c>
      <c r="G4" s="5">
        <f t="shared" ref="G4:G8" si="1">AVERAGE(F4,F10,F16,F22)</f>
        <v>-0.20833333333333393</v>
      </c>
      <c r="H4" s="7">
        <f t="shared" ref="H4:H32" si="2">G4-G$1</f>
        <v>-0.16064814814814829</v>
      </c>
      <c r="I4" s="7">
        <f t="shared" ref="I4:I26" si="3">C4-H4</f>
        <v>15.260648148148148</v>
      </c>
      <c r="J4">
        <f t="shared" ref="J4:J32" si="4">$R$1*D4+$R$2</f>
        <v>14.171886473429952</v>
      </c>
      <c r="K4" s="7">
        <f t="shared" ref="K4:K32" si="5">J4+H4</f>
        <v>14.011238325281804</v>
      </c>
    </row>
    <row r="5" spans="1:18" ht="18.75" x14ac:dyDescent="0.3">
      <c r="A5" s="1"/>
      <c r="B5" s="2" t="s">
        <v>5</v>
      </c>
      <c r="C5" s="2">
        <v>14.8</v>
      </c>
      <c r="D5" s="2">
        <v>3</v>
      </c>
      <c r="E5" s="3" t="s">
        <v>9</v>
      </c>
      <c r="G5" s="5">
        <f t="shared" si="1"/>
        <v>-0.15000000000000094</v>
      </c>
      <c r="H5" s="7">
        <f t="shared" si="2"/>
        <v>-0.1023148148148153</v>
      </c>
      <c r="I5" s="7">
        <f t="shared" si="3"/>
        <v>14.902314814814815</v>
      </c>
      <c r="J5">
        <f t="shared" si="4"/>
        <v>14.336060386473431</v>
      </c>
      <c r="K5" s="7">
        <f t="shared" si="5"/>
        <v>14.233745571658616</v>
      </c>
    </row>
    <row r="6" spans="1:18" ht="18.75" x14ac:dyDescent="0.3">
      <c r="A6" s="1"/>
      <c r="B6" s="2" t="s">
        <v>6</v>
      </c>
      <c r="C6" s="2">
        <v>16.3</v>
      </c>
      <c r="D6" s="2">
        <v>4</v>
      </c>
      <c r="E6" s="7">
        <f>(C3*0.5+C4+C5+C6+C7+C8+C9*0.5)/6</f>
        <v>14.791666666666666</v>
      </c>
      <c r="F6" s="7">
        <f>C6-E6</f>
        <v>1.5083333333333346</v>
      </c>
      <c r="G6" s="5">
        <f t="shared" si="1"/>
        <v>1.9750000000000003</v>
      </c>
      <c r="H6" s="7">
        <f t="shared" si="2"/>
        <v>2.0226851851851859</v>
      </c>
      <c r="I6" s="7">
        <f t="shared" si="3"/>
        <v>14.277314814814815</v>
      </c>
      <c r="J6">
        <f t="shared" si="4"/>
        <v>14.500234299516908</v>
      </c>
      <c r="K6" s="7">
        <f t="shared" si="5"/>
        <v>16.522919484702093</v>
      </c>
    </row>
    <row r="7" spans="1:18" ht="18.75" x14ac:dyDescent="0.3">
      <c r="A7" s="1"/>
      <c r="B7" s="2" t="s">
        <v>7</v>
      </c>
      <c r="C7" s="2">
        <v>14.8</v>
      </c>
      <c r="D7" s="2">
        <v>5</v>
      </c>
      <c r="E7" s="7">
        <f t="shared" ref="E7:E23" si="6">(C4*0.5+C5+C6+C7+C8+C9+C10*0.5)/6</f>
        <v>14.758333333333333</v>
      </c>
      <c r="F7" s="7">
        <f t="shared" ref="F7:F23" si="7">C7-E7</f>
        <v>4.1666666666667851E-2</v>
      </c>
      <c r="G7" s="5">
        <f t="shared" si="1"/>
        <v>2.7777777777764356E-3</v>
      </c>
      <c r="H7" s="7">
        <f t="shared" si="2"/>
        <v>5.0462962962962064E-2</v>
      </c>
      <c r="I7" s="7">
        <f t="shared" si="3"/>
        <v>14.749537037037038</v>
      </c>
      <c r="J7">
        <f t="shared" si="4"/>
        <v>14.664408212560387</v>
      </c>
      <c r="K7" s="7">
        <f t="shared" si="5"/>
        <v>14.714871175523349</v>
      </c>
    </row>
    <row r="8" spans="1:18" ht="19.5" thickBot="1" x14ac:dyDescent="0.35">
      <c r="A8" s="1"/>
      <c r="B8" s="2" t="s">
        <v>8</v>
      </c>
      <c r="C8" s="2">
        <v>14.2</v>
      </c>
      <c r="D8" s="2">
        <v>6</v>
      </c>
      <c r="E8" s="7">
        <f t="shared" si="6"/>
        <v>14.625</v>
      </c>
      <c r="F8" s="7">
        <f t="shared" si="7"/>
        <v>-0.42500000000000071</v>
      </c>
      <c r="G8" s="6">
        <f t="shared" si="1"/>
        <v>-0.74999999999999944</v>
      </c>
      <c r="H8" s="7">
        <f t="shared" si="2"/>
        <v>-0.70231481481481384</v>
      </c>
      <c r="I8" s="7">
        <f t="shared" si="3"/>
        <v>14.902314814814813</v>
      </c>
      <c r="J8">
        <f t="shared" si="4"/>
        <v>14.828582125603866</v>
      </c>
      <c r="K8" s="7">
        <f t="shared" si="5"/>
        <v>14.126267310789052</v>
      </c>
    </row>
    <row r="9" spans="1:18" ht="18.75" x14ac:dyDescent="0.3">
      <c r="A9" s="1">
        <v>2003</v>
      </c>
      <c r="B9" s="2" t="s">
        <v>3</v>
      </c>
      <c r="C9" s="2">
        <v>13.8</v>
      </c>
      <c r="D9" s="2">
        <v>7</v>
      </c>
      <c r="E9" s="7">
        <f t="shared" si="6"/>
        <v>14.625</v>
      </c>
      <c r="F9" s="7">
        <f t="shared" si="7"/>
        <v>-0.82499999999999929</v>
      </c>
      <c r="G9" s="4">
        <v>-1.1555555555555601</v>
      </c>
      <c r="H9" s="7">
        <f t="shared" si="2"/>
        <v>-1.1078703703703745</v>
      </c>
      <c r="I9" s="7">
        <f t="shared" si="3"/>
        <v>14.907870370370375</v>
      </c>
      <c r="J9">
        <f t="shared" si="4"/>
        <v>14.992756038647343</v>
      </c>
      <c r="K9" s="7">
        <f t="shared" si="5"/>
        <v>13.884885668276969</v>
      </c>
    </row>
    <row r="10" spans="1:18" ht="18.75" x14ac:dyDescent="0.3">
      <c r="A10" s="1"/>
      <c r="B10" s="2" t="s">
        <v>4</v>
      </c>
      <c r="C10" s="2">
        <v>14.2</v>
      </c>
      <c r="D10" s="2">
        <v>8</v>
      </c>
      <c r="E10" s="7">
        <f t="shared" si="6"/>
        <v>14.716666666666669</v>
      </c>
      <c r="F10" s="7">
        <f t="shared" si="7"/>
        <v>-0.51666666666666927</v>
      </c>
      <c r="G10" s="5">
        <v>-0.20833333333333393</v>
      </c>
      <c r="H10" s="7">
        <f t="shared" si="2"/>
        <v>-0.16064814814814829</v>
      </c>
      <c r="I10" s="7">
        <f t="shared" si="3"/>
        <v>14.360648148148147</v>
      </c>
      <c r="J10">
        <f t="shared" si="4"/>
        <v>15.156929951690822</v>
      </c>
      <c r="K10" s="7">
        <f t="shared" si="5"/>
        <v>14.996281803542674</v>
      </c>
    </row>
    <row r="11" spans="1:18" ht="18.75" x14ac:dyDescent="0.3">
      <c r="A11" s="1"/>
      <c r="B11" s="2" t="s">
        <v>5</v>
      </c>
      <c r="C11" s="2">
        <v>14.1</v>
      </c>
      <c r="D11" s="2">
        <v>9</v>
      </c>
      <c r="E11" s="7">
        <f t="shared" si="6"/>
        <v>14.799999999999999</v>
      </c>
      <c r="F11" s="7">
        <f t="shared" si="7"/>
        <v>-0.69999999999999929</v>
      </c>
      <c r="G11" s="5">
        <v>-0.15000000000000094</v>
      </c>
      <c r="H11" s="7">
        <f t="shared" si="2"/>
        <v>-0.1023148148148153</v>
      </c>
      <c r="I11" s="7">
        <f t="shared" si="3"/>
        <v>14.202314814814814</v>
      </c>
      <c r="J11">
        <f t="shared" si="4"/>
        <v>15.321103864734299</v>
      </c>
      <c r="K11" s="7">
        <f t="shared" si="5"/>
        <v>15.218789049919485</v>
      </c>
    </row>
    <row r="12" spans="1:18" ht="18.75" x14ac:dyDescent="0.3">
      <c r="A12" s="1"/>
      <c r="B12" s="2" t="s">
        <v>6</v>
      </c>
      <c r="C12" s="2">
        <v>17</v>
      </c>
      <c r="D12" s="2">
        <v>10</v>
      </c>
      <c r="E12" s="7">
        <f t="shared" si="6"/>
        <v>14.9</v>
      </c>
      <c r="F12" s="7">
        <f t="shared" si="7"/>
        <v>2.0999999999999996</v>
      </c>
      <c r="G12" s="5">
        <v>1.9750000000000003</v>
      </c>
      <c r="H12" s="7">
        <f t="shared" si="2"/>
        <v>2.0226851851851859</v>
      </c>
      <c r="I12" s="7">
        <f t="shared" si="3"/>
        <v>14.977314814814815</v>
      </c>
      <c r="J12">
        <f t="shared" si="4"/>
        <v>15.485277777777778</v>
      </c>
      <c r="K12" s="7">
        <f t="shared" si="5"/>
        <v>17.507962962962964</v>
      </c>
    </row>
    <row r="13" spans="1:18" ht="18.75" x14ac:dyDescent="0.3">
      <c r="A13" s="1"/>
      <c r="B13" s="2" t="s">
        <v>7</v>
      </c>
      <c r="C13" s="2">
        <v>15.2</v>
      </c>
      <c r="D13" s="2">
        <v>11</v>
      </c>
      <c r="E13" s="7">
        <f t="shared" si="6"/>
        <v>15.100000000000001</v>
      </c>
      <c r="F13" s="7">
        <f t="shared" si="7"/>
        <v>9.9999999999997868E-2</v>
      </c>
      <c r="G13" s="5">
        <v>2.7777777777764356E-3</v>
      </c>
      <c r="H13" s="7">
        <f t="shared" si="2"/>
        <v>5.0462962962962064E-2</v>
      </c>
      <c r="I13" s="7">
        <f t="shared" si="3"/>
        <v>15.149537037037037</v>
      </c>
      <c r="J13">
        <f t="shared" si="4"/>
        <v>15.649451690821255</v>
      </c>
      <c r="K13" s="7">
        <f t="shared" si="5"/>
        <v>15.699914653784218</v>
      </c>
    </row>
    <row r="14" spans="1:18" ht="19.5" thickBot="1" x14ac:dyDescent="0.35">
      <c r="A14" s="1"/>
      <c r="B14" s="2" t="s">
        <v>8</v>
      </c>
      <c r="C14" s="2">
        <v>14.8</v>
      </c>
      <c r="D14" s="2">
        <v>12</v>
      </c>
      <c r="E14" s="7">
        <f t="shared" si="6"/>
        <v>15.424999999999999</v>
      </c>
      <c r="F14" s="7">
        <f t="shared" si="7"/>
        <v>-0.62499999999999822</v>
      </c>
      <c r="G14" s="6">
        <v>-0.74999999999999944</v>
      </c>
      <c r="H14" s="7">
        <f t="shared" si="2"/>
        <v>-0.70231481481481384</v>
      </c>
      <c r="I14" s="7">
        <f t="shared" si="3"/>
        <v>15.502314814814815</v>
      </c>
      <c r="J14">
        <f t="shared" si="4"/>
        <v>15.813625603864734</v>
      </c>
      <c r="K14" s="7">
        <f t="shared" si="5"/>
        <v>15.11131078904992</v>
      </c>
    </row>
    <row r="15" spans="1:18" ht="18.75" x14ac:dyDescent="0.3">
      <c r="A15" s="1">
        <v>2004</v>
      </c>
      <c r="B15" s="2" t="s">
        <v>3</v>
      </c>
      <c r="C15" s="2">
        <v>14.4</v>
      </c>
      <c r="D15" s="2">
        <v>13</v>
      </c>
      <c r="E15" s="7">
        <f t="shared" si="6"/>
        <v>15.725000000000001</v>
      </c>
      <c r="F15" s="7">
        <f t="shared" si="7"/>
        <v>-1.3250000000000011</v>
      </c>
      <c r="G15" s="4">
        <v>-1.155555555555555</v>
      </c>
      <c r="H15" s="7">
        <f t="shared" si="2"/>
        <v>-1.1078703703703694</v>
      </c>
      <c r="I15" s="7">
        <f t="shared" si="3"/>
        <v>15.50787037037037</v>
      </c>
      <c r="J15">
        <f t="shared" si="4"/>
        <v>15.977799516908213</v>
      </c>
      <c r="K15" s="7">
        <f t="shared" si="5"/>
        <v>14.869929146537844</v>
      </c>
    </row>
    <row r="16" spans="1:18" ht="18.75" x14ac:dyDescent="0.3">
      <c r="A16" s="1"/>
      <c r="B16" s="2" t="s">
        <v>4</v>
      </c>
      <c r="C16" s="2">
        <v>16</v>
      </c>
      <c r="D16" s="2">
        <v>14</v>
      </c>
      <c r="E16" s="7">
        <f t="shared" si="6"/>
        <v>15.933333333333332</v>
      </c>
      <c r="F16" s="7">
        <f t="shared" si="7"/>
        <v>6.6666666666668206E-2</v>
      </c>
      <c r="G16" s="5">
        <v>-0.20833333333333393</v>
      </c>
      <c r="H16" s="7">
        <f t="shared" si="2"/>
        <v>-0.16064814814814829</v>
      </c>
      <c r="I16" s="7">
        <f t="shared" si="3"/>
        <v>16.160648148148148</v>
      </c>
      <c r="J16">
        <f t="shared" si="4"/>
        <v>16.14197342995169</v>
      </c>
      <c r="K16" s="7">
        <f t="shared" si="5"/>
        <v>15.981325281803542</v>
      </c>
    </row>
    <row r="17" spans="1:11" ht="18.75" x14ac:dyDescent="0.3">
      <c r="A17" s="1"/>
      <c r="B17" s="2" t="s">
        <v>5</v>
      </c>
      <c r="C17" s="2">
        <v>16.2</v>
      </c>
      <c r="D17" s="2">
        <v>15</v>
      </c>
      <c r="E17" s="7">
        <f t="shared" si="6"/>
        <v>16.058333333333334</v>
      </c>
      <c r="F17" s="7">
        <f t="shared" si="7"/>
        <v>0.14166666666666572</v>
      </c>
      <c r="G17" s="5">
        <v>-0.15000000000000094</v>
      </c>
      <c r="H17" s="7">
        <f t="shared" si="2"/>
        <v>-0.1023148148148153</v>
      </c>
      <c r="I17" s="7">
        <f t="shared" si="3"/>
        <v>16.302314814814814</v>
      </c>
      <c r="J17">
        <f t="shared" si="4"/>
        <v>16.306147342995168</v>
      </c>
      <c r="K17" s="7">
        <f t="shared" si="5"/>
        <v>16.203832528180353</v>
      </c>
    </row>
    <row r="18" spans="1:11" ht="18.75" x14ac:dyDescent="0.3">
      <c r="A18" s="1"/>
      <c r="B18" s="2" t="s">
        <v>6</v>
      </c>
      <c r="C18" s="2">
        <v>18.5</v>
      </c>
      <c r="D18" s="2">
        <v>16</v>
      </c>
      <c r="E18" s="7">
        <f t="shared" si="6"/>
        <v>16.183333333333334</v>
      </c>
      <c r="F18" s="7">
        <f t="shared" si="7"/>
        <v>2.3166666666666664</v>
      </c>
      <c r="G18" s="5">
        <v>1.9750000000000003</v>
      </c>
      <c r="H18" s="7">
        <f t="shared" si="2"/>
        <v>2.0226851851851859</v>
      </c>
      <c r="I18" s="7">
        <f t="shared" si="3"/>
        <v>16.477314814814815</v>
      </c>
      <c r="J18">
        <f t="shared" si="4"/>
        <v>16.470321256038648</v>
      </c>
      <c r="K18" s="7">
        <f t="shared" si="5"/>
        <v>18.493006441223834</v>
      </c>
    </row>
    <row r="19" spans="1:11" ht="18.75" x14ac:dyDescent="0.3">
      <c r="A19" s="1"/>
      <c r="B19" s="2" t="s">
        <v>7</v>
      </c>
      <c r="C19" s="2">
        <v>16.2</v>
      </c>
      <c r="D19" s="2">
        <v>17</v>
      </c>
      <c r="E19" s="7">
        <f t="shared" si="6"/>
        <v>16.333333333333336</v>
      </c>
      <c r="F19" s="7">
        <f t="shared" si="7"/>
        <v>-0.13333333333333641</v>
      </c>
      <c r="G19" s="5">
        <v>2.7777777777764356E-3</v>
      </c>
      <c r="H19" s="7">
        <f t="shared" si="2"/>
        <v>5.0462962962962064E-2</v>
      </c>
      <c r="I19" s="7">
        <f t="shared" si="3"/>
        <v>16.149537037037039</v>
      </c>
      <c r="J19">
        <f t="shared" si="4"/>
        <v>16.634495169082125</v>
      </c>
      <c r="K19" s="7">
        <f t="shared" si="5"/>
        <v>16.684958132045086</v>
      </c>
    </row>
    <row r="20" spans="1:11" ht="19.5" thickBot="1" x14ac:dyDescent="0.35">
      <c r="A20" s="1"/>
      <c r="B20" s="2" t="s">
        <v>8</v>
      </c>
      <c r="C20" s="2">
        <v>15.3</v>
      </c>
      <c r="D20" s="2">
        <v>18</v>
      </c>
      <c r="E20" s="7">
        <f t="shared" si="6"/>
        <v>16.5</v>
      </c>
      <c r="F20" s="7">
        <f t="shared" si="7"/>
        <v>-1.1999999999999993</v>
      </c>
      <c r="G20" s="6">
        <v>-0.74999999999999944</v>
      </c>
      <c r="H20" s="7">
        <f t="shared" si="2"/>
        <v>-0.70231481481481384</v>
      </c>
      <c r="I20" s="7">
        <f t="shared" si="3"/>
        <v>16.002314814814813</v>
      </c>
      <c r="J20">
        <f t="shared" si="4"/>
        <v>16.798669082125603</v>
      </c>
      <c r="K20" s="7">
        <f t="shared" si="5"/>
        <v>16.09635426731079</v>
      </c>
    </row>
    <row r="21" spans="1:11" ht="18.75" x14ac:dyDescent="0.3">
      <c r="A21" s="1">
        <v>2005</v>
      </c>
      <c r="B21" s="2" t="s">
        <v>3</v>
      </c>
      <c r="C21" s="2">
        <v>15.4</v>
      </c>
      <c r="D21" s="2">
        <v>19</v>
      </c>
      <c r="E21" s="7">
        <f t="shared" si="6"/>
        <v>16.716666666666665</v>
      </c>
      <c r="F21" s="7">
        <f t="shared" si="7"/>
        <v>-1.3166666666666647</v>
      </c>
      <c r="G21" s="4">
        <v>-1.155555555555555</v>
      </c>
      <c r="H21" s="7">
        <f t="shared" si="2"/>
        <v>-1.1078703703703694</v>
      </c>
      <c r="I21" s="7">
        <f t="shared" si="3"/>
        <v>16.50787037037037</v>
      </c>
      <c r="J21">
        <f t="shared" si="4"/>
        <v>16.962842995169083</v>
      </c>
      <c r="K21" s="7">
        <f t="shared" si="5"/>
        <v>15.854972624798714</v>
      </c>
    </row>
    <row r="22" spans="1:11" ht="18.75" x14ac:dyDescent="0.3">
      <c r="A22" s="1"/>
      <c r="B22" s="2" t="s">
        <v>4</v>
      </c>
      <c r="C22" s="2">
        <v>16.8</v>
      </c>
      <c r="D22" s="2">
        <v>20</v>
      </c>
      <c r="E22" s="7">
        <f t="shared" si="6"/>
        <v>16.975000000000001</v>
      </c>
      <c r="F22" s="7">
        <f t="shared" si="7"/>
        <v>-0.17500000000000071</v>
      </c>
      <c r="G22" s="5">
        <v>-0.20833333333333393</v>
      </c>
      <c r="H22" s="7">
        <f t="shared" si="2"/>
        <v>-0.16064814814814829</v>
      </c>
      <c r="I22" s="7">
        <f t="shared" si="3"/>
        <v>16.960648148148149</v>
      </c>
      <c r="J22">
        <f t="shared" si="4"/>
        <v>17.127016908212561</v>
      </c>
      <c r="K22" s="7">
        <f t="shared" si="5"/>
        <v>16.966368760064412</v>
      </c>
    </row>
    <row r="23" spans="1:11" ht="18.75" x14ac:dyDescent="0.3">
      <c r="A23" s="1"/>
      <c r="B23" s="2" t="s">
        <v>5</v>
      </c>
      <c r="C23" s="2">
        <v>17.399999999999999</v>
      </c>
      <c r="D23" s="2">
        <v>21</v>
      </c>
      <c r="E23" s="7">
        <f t="shared" si="6"/>
        <v>17.291666666666668</v>
      </c>
      <c r="F23" s="7">
        <f t="shared" si="7"/>
        <v>0.10833333333333073</v>
      </c>
      <c r="G23" s="5">
        <v>-0.15000000000000094</v>
      </c>
      <c r="H23" s="7">
        <f t="shared" si="2"/>
        <v>-0.1023148148148153</v>
      </c>
      <c r="I23" s="7">
        <f t="shared" si="3"/>
        <v>17.502314814814813</v>
      </c>
      <c r="J23">
        <f t="shared" si="4"/>
        <v>17.291190821256038</v>
      </c>
      <c r="K23" s="7">
        <f t="shared" si="5"/>
        <v>17.188876006441223</v>
      </c>
    </row>
    <row r="24" spans="1:11" ht="18.75" x14ac:dyDescent="0.3">
      <c r="A24" s="1"/>
      <c r="B24" s="2" t="s">
        <v>6</v>
      </c>
      <c r="C24" s="2">
        <v>19.899999999999999</v>
      </c>
      <c r="D24" s="2">
        <v>22</v>
      </c>
      <c r="E24" s="3" t="s">
        <v>9</v>
      </c>
      <c r="G24" s="5">
        <v>1.9750000000000003</v>
      </c>
      <c r="H24" s="7">
        <f t="shared" si="2"/>
        <v>2.0226851851851859</v>
      </c>
      <c r="I24" s="7">
        <f t="shared" si="3"/>
        <v>17.877314814814813</v>
      </c>
      <c r="J24">
        <f t="shared" si="4"/>
        <v>17.455364734299515</v>
      </c>
      <c r="K24" s="7">
        <f t="shared" si="5"/>
        <v>19.4780499194847</v>
      </c>
    </row>
    <row r="25" spans="1:11" ht="18.75" x14ac:dyDescent="0.3">
      <c r="A25" s="1"/>
      <c r="B25" s="2" t="s">
        <v>7</v>
      </c>
      <c r="C25" s="2">
        <v>17.899999999999999</v>
      </c>
      <c r="D25" s="2">
        <v>23</v>
      </c>
      <c r="E25" s="3" t="s">
        <v>9</v>
      </c>
      <c r="G25" s="5">
        <v>2.7777777777764356E-3</v>
      </c>
      <c r="H25" s="7">
        <f t="shared" si="2"/>
        <v>5.0462962962962064E-2</v>
      </c>
      <c r="I25" s="7">
        <f t="shared" si="3"/>
        <v>17.849537037037038</v>
      </c>
      <c r="J25">
        <f t="shared" si="4"/>
        <v>17.619538647342996</v>
      </c>
      <c r="K25" s="7">
        <f t="shared" si="5"/>
        <v>17.670001610305956</v>
      </c>
    </row>
    <row r="26" spans="1:11" ht="19.5" thickBot="1" x14ac:dyDescent="0.35">
      <c r="A26" s="1"/>
      <c r="B26" s="2" t="s">
        <v>8</v>
      </c>
      <c r="C26" s="2">
        <v>17.399999999999999</v>
      </c>
      <c r="D26" s="2">
        <v>24</v>
      </c>
      <c r="E26" s="3" t="s">
        <v>9</v>
      </c>
      <c r="G26" s="6">
        <v>-0.74999999999999944</v>
      </c>
      <c r="H26" s="7">
        <f t="shared" si="2"/>
        <v>-0.70231481481481384</v>
      </c>
      <c r="I26" s="7">
        <f t="shared" si="3"/>
        <v>18.102314814814811</v>
      </c>
      <c r="J26">
        <f t="shared" si="4"/>
        <v>17.783712560386473</v>
      </c>
      <c r="K26" s="7">
        <f t="shared" si="5"/>
        <v>17.08139774557166</v>
      </c>
    </row>
    <row r="27" spans="1:11" ht="18.75" x14ac:dyDescent="0.3">
      <c r="D27" s="2">
        <v>25</v>
      </c>
      <c r="G27" s="4">
        <v>-1.155555555555555</v>
      </c>
      <c r="H27" s="4">
        <v>-1.155555555555555</v>
      </c>
      <c r="J27">
        <f t="shared" si="4"/>
        <v>17.947886473429953</v>
      </c>
      <c r="K27" s="7">
        <f t="shared" si="5"/>
        <v>16.792330917874398</v>
      </c>
    </row>
    <row r="28" spans="1:11" ht="18.75" x14ac:dyDescent="0.3">
      <c r="D28" s="2">
        <v>26</v>
      </c>
      <c r="G28" s="5">
        <v>-0.20833333333333393</v>
      </c>
      <c r="H28" s="5">
        <v>-0.20833333333333393</v>
      </c>
      <c r="J28">
        <f t="shared" si="4"/>
        <v>18.112060386473431</v>
      </c>
      <c r="K28" s="7">
        <f t="shared" si="5"/>
        <v>17.903727053140095</v>
      </c>
    </row>
    <row r="29" spans="1:11" ht="18.75" x14ac:dyDescent="0.3">
      <c r="D29" s="2">
        <v>27</v>
      </c>
      <c r="G29" s="5">
        <v>-0.15000000000000094</v>
      </c>
      <c r="H29" s="5">
        <v>-0.15000000000000094</v>
      </c>
      <c r="J29">
        <f t="shared" si="4"/>
        <v>18.276234299516908</v>
      </c>
      <c r="K29" s="7">
        <f t="shared" si="5"/>
        <v>18.126234299516906</v>
      </c>
    </row>
    <row r="30" spans="1:11" ht="18.75" x14ac:dyDescent="0.3">
      <c r="D30" s="2">
        <v>28</v>
      </c>
      <c r="G30" s="5">
        <v>1.9750000000000003</v>
      </c>
      <c r="H30" s="5">
        <v>1.9750000000000003</v>
      </c>
      <c r="J30">
        <f t="shared" si="4"/>
        <v>18.440408212560385</v>
      </c>
      <c r="K30" s="7">
        <f t="shared" si="5"/>
        <v>20.415408212560386</v>
      </c>
    </row>
    <row r="31" spans="1:11" ht="18.75" x14ac:dyDescent="0.3">
      <c r="D31" s="2">
        <v>29</v>
      </c>
      <c r="G31" s="5">
        <v>2.7777777777764356E-3</v>
      </c>
      <c r="H31" s="5">
        <v>2.7777777777764356E-3</v>
      </c>
      <c r="J31">
        <f t="shared" si="4"/>
        <v>18.604582125603862</v>
      </c>
      <c r="K31" s="7">
        <f t="shared" si="5"/>
        <v>18.607359903381639</v>
      </c>
    </row>
    <row r="32" spans="1:11" ht="19.5" thickBot="1" x14ac:dyDescent="0.35">
      <c r="D32" s="2">
        <v>30</v>
      </c>
      <c r="G32" s="6">
        <v>-0.74999999999999944</v>
      </c>
      <c r="H32" s="6">
        <v>-0.74999999999999944</v>
      </c>
      <c r="J32">
        <f t="shared" si="4"/>
        <v>18.768756038647343</v>
      </c>
      <c r="K32" s="7">
        <f t="shared" si="5"/>
        <v>18.018756038647343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Air_France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Leila</dc:creator>
  <cp:lastModifiedBy>Alexan</cp:lastModifiedBy>
  <dcterms:created xsi:type="dcterms:W3CDTF">2022-11-25T15:59:25Z</dcterms:created>
  <dcterms:modified xsi:type="dcterms:W3CDTF">2025-11-10T10:54:21Z</dcterms:modified>
</cp:coreProperties>
</file>