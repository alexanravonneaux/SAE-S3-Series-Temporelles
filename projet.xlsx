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tuunivpoitiersfr-my.sharepoint.com/personal/alexan_ravonneaux_etu_univ-poitiers_fr/Documents/Série temp ali/"/>
    </mc:Choice>
  </mc:AlternateContent>
  <xr:revisionPtr revIDLastSave="0" documentId="8_{04657A73-0A9A-46F1-95E7-43DE132DA202}" xr6:coauthVersionLast="47" xr6:coauthVersionMax="47" xr10:uidLastSave="{00000000-0000-0000-0000-000000000000}"/>
  <bookViews>
    <workbookView xWindow="-120" yWindow="-120" windowWidth="25440" windowHeight="15270"/>
  </bookViews>
  <sheets>
    <sheet name="Feuil2" sheetId="4" r:id="rId1"/>
    <sheet name="dataset_2025-11-17T12_56_18.236" sheetId="2" r:id="rId2"/>
    <sheet name="Feuil1" sheetId="3" r:id="rId3"/>
  </sheets>
  <definedNames>
    <definedName name="DonnéesExternes_1" localSheetId="1" hidden="1">'dataset_2025-11-17T12_56_18.236'!#REF!</definedName>
  </definedNames>
  <calcPr calcId="0"/>
  <pivotCaches>
    <pivotCache cacheId="34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" i="4" l="1"/>
  <c r="D42" i="4"/>
  <c r="E42" i="4"/>
  <c r="F42" i="4"/>
  <c r="G42" i="4"/>
  <c r="H42" i="4"/>
  <c r="I42" i="4"/>
  <c r="J42" i="4"/>
  <c r="K42" i="4"/>
  <c r="L42" i="4"/>
  <c r="M42" i="4"/>
  <c r="B42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5" i="4"/>
  <c r="J13" i="2" l="1"/>
  <c r="J17" i="2"/>
  <c r="J18" i="2"/>
  <c r="J29" i="2"/>
  <c r="J30" i="2"/>
  <c r="J49" i="2"/>
  <c r="J53" i="2"/>
  <c r="J54" i="2"/>
  <c r="J65" i="2"/>
  <c r="J66" i="2"/>
  <c r="J85" i="2"/>
  <c r="J89" i="2"/>
  <c r="J90" i="2"/>
  <c r="J101" i="2"/>
  <c r="J102" i="2"/>
  <c r="J121" i="2"/>
  <c r="J125" i="2"/>
  <c r="J126" i="2"/>
  <c r="J137" i="2"/>
  <c r="J138" i="2"/>
  <c r="J157" i="2"/>
  <c r="J161" i="2"/>
  <c r="J162" i="2"/>
  <c r="J173" i="2"/>
  <c r="J174" i="2"/>
  <c r="J193" i="2"/>
  <c r="J197" i="2"/>
  <c r="J198" i="2"/>
  <c r="J209" i="2"/>
  <c r="J210" i="2"/>
  <c r="J229" i="2"/>
  <c r="J233" i="2"/>
  <c r="J234" i="2"/>
  <c r="J245" i="2"/>
  <c r="J246" i="2"/>
  <c r="J265" i="2"/>
  <c r="J269" i="2"/>
  <c r="J270" i="2"/>
  <c r="J281" i="2"/>
  <c r="J282" i="2"/>
  <c r="J301" i="2"/>
  <c r="J305" i="2"/>
  <c r="J306" i="2"/>
  <c r="J317" i="2"/>
  <c r="J318" i="2"/>
  <c r="J349" i="2"/>
  <c r="J361" i="2"/>
  <c r="J364" i="2"/>
  <c r="J389" i="2"/>
  <c r="J390" i="2"/>
  <c r="J401" i="2"/>
  <c r="J40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2" i="2"/>
  <c r="T3" i="2"/>
  <c r="T2" i="2"/>
  <c r="H3" i="2"/>
  <c r="H18" i="2"/>
  <c r="H20" i="2"/>
  <c r="H27" i="2"/>
  <c r="H32" i="2"/>
  <c r="H39" i="2"/>
  <c r="H54" i="2"/>
  <c r="H56" i="2"/>
  <c r="H63" i="2"/>
  <c r="H68" i="2"/>
  <c r="H75" i="2"/>
  <c r="H90" i="2"/>
  <c r="H92" i="2"/>
  <c r="H99" i="2"/>
  <c r="H104" i="2"/>
  <c r="H111" i="2"/>
  <c r="H126" i="2"/>
  <c r="H128" i="2"/>
  <c r="H135" i="2"/>
  <c r="H140" i="2"/>
  <c r="H147" i="2"/>
  <c r="H164" i="2"/>
  <c r="H171" i="2"/>
  <c r="H176" i="2"/>
  <c r="H183" i="2"/>
  <c r="H200" i="2"/>
  <c r="H207" i="2"/>
  <c r="H212" i="2"/>
  <c r="H219" i="2"/>
  <c r="H236" i="2"/>
  <c r="H243" i="2"/>
  <c r="H248" i="2"/>
  <c r="H255" i="2"/>
  <c r="H272" i="2"/>
  <c r="H279" i="2"/>
  <c r="H284" i="2"/>
  <c r="H291" i="2"/>
  <c r="H308" i="2"/>
  <c r="H315" i="2"/>
  <c r="H320" i="2"/>
  <c r="H327" i="2"/>
  <c r="H344" i="2"/>
  <c r="H351" i="2"/>
  <c r="H356" i="2"/>
  <c r="H363" i="2"/>
  <c r="H380" i="2"/>
  <c r="H387" i="2"/>
  <c r="H392" i="2"/>
  <c r="H399" i="2"/>
  <c r="G3" i="2"/>
  <c r="J3" i="2" s="1"/>
  <c r="G4" i="2"/>
  <c r="H4" i="2" s="1"/>
  <c r="G5" i="2"/>
  <c r="H5" i="2" s="1"/>
  <c r="G6" i="2"/>
  <c r="H6" i="2" s="1"/>
  <c r="G7" i="2"/>
  <c r="J7" i="2" s="1"/>
  <c r="G8" i="2"/>
  <c r="J8" i="2" s="1"/>
  <c r="G9" i="2"/>
  <c r="J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J15" i="2" s="1"/>
  <c r="G16" i="2"/>
  <c r="H16" i="2" s="1"/>
  <c r="G17" i="2"/>
  <c r="H17" i="2" s="1"/>
  <c r="G18" i="2"/>
  <c r="G19" i="2"/>
  <c r="J19" i="2" s="1"/>
  <c r="G20" i="2"/>
  <c r="J20" i="2" s="1"/>
  <c r="G21" i="2"/>
  <c r="J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J27" i="2" s="1"/>
  <c r="G28" i="2"/>
  <c r="H28" i="2" s="1"/>
  <c r="G29" i="2"/>
  <c r="H29" i="2" s="1"/>
  <c r="G30" i="2"/>
  <c r="H30" i="2" s="1"/>
  <c r="G31" i="2"/>
  <c r="J31" i="2" s="1"/>
  <c r="G32" i="2"/>
  <c r="J32" i="2" s="1"/>
  <c r="G33" i="2"/>
  <c r="J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J39" i="2" s="1"/>
  <c r="G40" i="2"/>
  <c r="H40" i="2" s="1"/>
  <c r="G41" i="2"/>
  <c r="H41" i="2" s="1"/>
  <c r="G42" i="2"/>
  <c r="H42" i="2" s="1"/>
  <c r="G43" i="2"/>
  <c r="J43" i="2" s="1"/>
  <c r="G44" i="2"/>
  <c r="J44" i="2" s="1"/>
  <c r="G45" i="2"/>
  <c r="J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J51" i="2" s="1"/>
  <c r="G52" i="2"/>
  <c r="H52" i="2" s="1"/>
  <c r="G53" i="2"/>
  <c r="H53" i="2" s="1"/>
  <c r="G54" i="2"/>
  <c r="G55" i="2"/>
  <c r="J55" i="2" s="1"/>
  <c r="G56" i="2"/>
  <c r="J56" i="2" s="1"/>
  <c r="G57" i="2"/>
  <c r="J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J63" i="2" s="1"/>
  <c r="G64" i="2"/>
  <c r="H64" i="2" s="1"/>
  <c r="G65" i="2"/>
  <c r="H65" i="2" s="1"/>
  <c r="G66" i="2"/>
  <c r="H66" i="2" s="1"/>
  <c r="G67" i="2"/>
  <c r="J67" i="2" s="1"/>
  <c r="G68" i="2"/>
  <c r="J68" i="2" s="1"/>
  <c r="G69" i="2"/>
  <c r="J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J75" i="2" s="1"/>
  <c r="G76" i="2"/>
  <c r="H76" i="2" s="1"/>
  <c r="G77" i="2"/>
  <c r="H77" i="2" s="1"/>
  <c r="G78" i="2"/>
  <c r="H78" i="2" s="1"/>
  <c r="G79" i="2"/>
  <c r="J79" i="2" s="1"/>
  <c r="G80" i="2"/>
  <c r="J80" i="2" s="1"/>
  <c r="G81" i="2"/>
  <c r="J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J87" i="2" s="1"/>
  <c r="G88" i="2"/>
  <c r="H88" i="2" s="1"/>
  <c r="G89" i="2"/>
  <c r="H89" i="2" s="1"/>
  <c r="G90" i="2"/>
  <c r="G91" i="2"/>
  <c r="J91" i="2" s="1"/>
  <c r="G92" i="2"/>
  <c r="J92" i="2" s="1"/>
  <c r="G93" i="2"/>
  <c r="J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J99" i="2" s="1"/>
  <c r="G100" i="2"/>
  <c r="H100" i="2" s="1"/>
  <c r="G101" i="2"/>
  <c r="H101" i="2" s="1"/>
  <c r="G102" i="2"/>
  <c r="H102" i="2" s="1"/>
  <c r="G103" i="2"/>
  <c r="J103" i="2" s="1"/>
  <c r="G104" i="2"/>
  <c r="J104" i="2" s="1"/>
  <c r="G105" i="2"/>
  <c r="J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J111" i="2" s="1"/>
  <c r="G112" i="2"/>
  <c r="H112" i="2" s="1"/>
  <c r="G113" i="2"/>
  <c r="H113" i="2" s="1"/>
  <c r="G114" i="2"/>
  <c r="H114" i="2" s="1"/>
  <c r="G115" i="2"/>
  <c r="J115" i="2" s="1"/>
  <c r="G116" i="2"/>
  <c r="J116" i="2" s="1"/>
  <c r="G117" i="2"/>
  <c r="J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J123" i="2" s="1"/>
  <c r="G124" i="2"/>
  <c r="H124" i="2" s="1"/>
  <c r="G125" i="2"/>
  <c r="H125" i="2" s="1"/>
  <c r="G126" i="2"/>
  <c r="G127" i="2"/>
  <c r="J127" i="2" s="1"/>
  <c r="G128" i="2"/>
  <c r="J128" i="2" s="1"/>
  <c r="G129" i="2"/>
  <c r="J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J135" i="2" s="1"/>
  <c r="G136" i="2"/>
  <c r="H136" i="2" s="1"/>
  <c r="G137" i="2"/>
  <c r="H137" i="2" s="1"/>
  <c r="G138" i="2"/>
  <c r="H138" i="2" s="1"/>
  <c r="G139" i="2"/>
  <c r="J139" i="2" s="1"/>
  <c r="G140" i="2"/>
  <c r="J140" i="2" s="1"/>
  <c r="G141" i="2"/>
  <c r="J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J147" i="2" s="1"/>
  <c r="G148" i="2"/>
  <c r="H148" i="2" s="1"/>
  <c r="G149" i="2"/>
  <c r="H149" i="2" s="1"/>
  <c r="G150" i="2"/>
  <c r="H150" i="2" s="1"/>
  <c r="G151" i="2"/>
  <c r="J151" i="2" s="1"/>
  <c r="G152" i="2"/>
  <c r="J152" i="2" s="1"/>
  <c r="G153" i="2"/>
  <c r="J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J159" i="2" s="1"/>
  <c r="G160" i="2"/>
  <c r="H160" i="2" s="1"/>
  <c r="G161" i="2"/>
  <c r="H161" i="2" s="1"/>
  <c r="G162" i="2"/>
  <c r="H162" i="2" s="1"/>
  <c r="G163" i="2"/>
  <c r="J163" i="2" s="1"/>
  <c r="G164" i="2"/>
  <c r="J164" i="2" s="1"/>
  <c r="G165" i="2"/>
  <c r="J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J171" i="2" s="1"/>
  <c r="G172" i="2"/>
  <c r="H172" i="2" s="1"/>
  <c r="G173" i="2"/>
  <c r="H173" i="2" s="1"/>
  <c r="G174" i="2"/>
  <c r="H174" i="2" s="1"/>
  <c r="G175" i="2"/>
  <c r="J175" i="2" s="1"/>
  <c r="G176" i="2"/>
  <c r="J176" i="2" s="1"/>
  <c r="G177" i="2"/>
  <c r="J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J183" i="2" s="1"/>
  <c r="G184" i="2"/>
  <c r="H184" i="2" s="1"/>
  <c r="G185" i="2"/>
  <c r="H185" i="2" s="1"/>
  <c r="G186" i="2"/>
  <c r="H186" i="2" s="1"/>
  <c r="G187" i="2"/>
  <c r="J187" i="2" s="1"/>
  <c r="G188" i="2"/>
  <c r="J188" i="2" s="1"/>
  <c r="G189" i="2"/>
  <c r="J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J195" i="2" s="1"/>
  <c r="G196" i="2"/>
  <c r="H196" i="2" s="1"/>
  <c r="G197" i="2"/>
  <c r="H197" i="2" s="1"/>
  <c r="G198" i="2"/>
  <c r="H198" i="2" s="1"/>
  <c r="G199" i="2"/>
  <c r="J199" i="2" s="1"/>
  <c r="G200" i="2"/>
  <c r="J200" i="2" s="1"/>
  <c r="G201" i="2"/>
  <c r="J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J207" i="2" s="1"/>
  <c r="G208" i="2"/>
  <c r="H208" i="2" s="1"/>
  <c r="G209" i="2"/>
  <c r="H209" i="2" s="1"/>
  <c r="G210" i="2"/>
  <c r="H210" i="2" s="1"/>
  <c r="G211" i="2"/>
  <c r="J211" i="2" s="1"/>
  <c r="G212" i="2"/>
  <c r="J212" i="2" s="1"/>
  <c r="G213" i="2"/>
  <c r="J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J219" i="2" s="1"/>
  <c r="G220" i="2"/>
  <c r="H220" i="2" s="1"/>
  <c r="G221" i="2"/>
  <c r="H221" i="2" s="1"/>
  <c r="G222" i="2"/>
  <c r="H222" i="2" s="1"/>
  <c r="G223" i="2"/>
  <c r="J223" i="2" s="1"/>
  <c r="G224" i="2"/>
  <c r="J224" i="2" s="1"/>
  <c r="G225" i="2"/>
  <c r="J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J231" i="2" s="1"/>
  <c r="G232" i="2"/>
  <c r="H232" i="2" s="1"/>
  <c r="G233" i="2"/>
  <c r="H233" i="2" s="1"/>
  <c r="G234" i="2"/>
  <c r="H234" i="2" s="1"/>
  <c r="G235" i="2"/>
  <c r="J235" i="2" s="1"/>
  <c r="G236" i="2"/>
  <c r="J236" i="2" s="1"/>
  <c r="G237" i="2"/>
  <c r="J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J243" i="2" s="1"/>
  <c r="G244" i="2"/>
  <c r="H244" i="2" s="1"/>
  <c r="G245" i="2"/>
  <c r="H245" i="2" s="1"/>
  <c r="G246" i="2"/>
  <c r="H246" i="2" s="1"/>
  <c r="G247" i="2"/>
  <c r="J247" i="2" s="1"/>
  <c r="G248" i="2"/>
  <c r="J248" i="2" s="1"/>
  <c r="G249" i="2"/>
  <c r="J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J255" i="2" s="1"/>
  <c r="G256" i="2"/>
  <c r="H256" i="2" s="1"/>
  <c r="G257" i="2"/>
  <c r="H257" i="2" s="1"/>
  <c r="G258" i="2"/>
  <c r="H258" i="2" s="1"/>
  <c r="G259" i="2"/>
  <c r="J259" i="2" s="1"/>
  <c r="G260" i="2"/>
  <c r="J260" i="2" s="1"/>
  <c r="G261" i="2"/>
  <c r="J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J267" i="2" s="1"/>
  <c r="G268" i="2"/>
  <c r="H268" i="2" s="1"/>
  <c r="G269" i="2"/>
  <c r="H269" i="2" s="1"/>
  <c r="G270" i="2"/>
  <c r="H270" i="2" s="1"/>
  <c r="G271" i="2"/>
  <c r="J271" i="2" s="1"/>
  <c r="G272" i="2"/>
  <c r="J272" i="2" s="1"/>
  <c r="G273" i="2"/>
  <c r="J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J279" i="2" s="1"/>
  <c r="G280" i="2"/>
  <c r="H280" i="2" s="1"/>
  <c r="G281" i="2"/>
  <c r="H281" i="2" s="1"/>
  <c r="G282" i="2"/>
  <c r="H282" i="2" s="1"/>
  <c r="G283" i="2"/>
  <c r="J283" i="2" s="1"/>
  <c r="G284" i="2"/>
  <c r="J284" i="2" s="1"/>
  <c r="G285" i="2"/>
  <c r="J285" i="2" s="1"/>
  <c r="G286" i="2"/>
  <c r="H286" i="2" s="1"/>
  <c r="G287" i="2"/>
  <c r="H287" i="2" s="1"/>
  <c r="G288" i="2"/>
  <c r="H288" i="2" s="1"/>
  <c r="G289" i="2"/>
  <c r="H289" i="2" s="1"/>
  <c r="G290" i="2"/>
  <c r="H290" i="2" s="1"/>
  <c r="G291" i="2"/>
  <c r="J291" i="2" s="1"/>
  <c r="G292" i="2"/>
  <c r="H292" i="2" s="1"/>
  <c r="G293" i="2"/>
  <c r="H293" i="2" s="1"/>
  <c r="G294" i="2"/>
  <c r="H294" i="2" s="1"/>
  <c r="G295" i="2"/>
  <c r="J295" i="2" s="1"/>
  <c r="G296" i="2"/>
  <c r="J296" i="2" s="1"/>
  <c r="G297" i="2"/>
  <c r="J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J303" i="2" s="1"/>
  <c r="G304" i="2"/>
  <c r="H304" i="2" s="1"/>
  <c r="G305" i="2"/>
  <c r="H305" i="2" s="1"/>
  <c r="G306" i="2"/>
  <c r="H306" i="2" s="1"/>
  <c r="G307" i="2"/>
  <c r="J307" i="2" s="1"/>
  <c r="G308" i="2"/>
  <c r="J308" i="2" s="1"/>
  <c r="G309" i="2"/>
  <c r="J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J315" i="2" s="1"/>
  <c r="G316" i="2"/>
  <c r="H316" i="2" s="1"/>
  <c r="G317" i="2"/>
  <c r="H317" i="2" s="1"/>
  <c r="G318" i="2"/>
  <c r="H318" i="2" s="1"/>
  <c r="G319" i="2"/>
  <c r="J319" i="2" s="1"/>
  <c r="G320" i="2"/>
  <c r="J320" i="2" s="1"/>
  <c r="G321" i="2"/>
  <c r="J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J327" i="2" s="1"/>
  <c r="G328" i="2"/>
  <c r="H328" i="2" s="1"/>
  <c r="G329" i="2"/>
  <c r="H329" i="2" s="1"/>
  <c r="G330" i="2"/>
  <c r="H330" i="2" s="1"/>
  <c r="G331" i="2"/>
  <c r="J331" i="2" s="1"/>
  <c r="G332" i="2"/>
  <c r="J332" i="2" s="1"/>
  <c r="G333" i="2"/>
  <c r="J333" i="2" s="1"/>
  <c r="G334" i="2"/>
  <c r="H334" i="2" s="1"/>
  <c r="G335" i="2"/>
  <c r="H335" i="2" s="1"/>
  <c r="G336" i="2"/>
  <c r="H336" i="2" s="1"/>
  <c r="G337" i="2"/>
  <c r="H337" i="2" s="1"/>
  <c r="G338" i="2"/>
  <c r="H338" i="2" s="1"/>
  <c r="G339" i="2"/>
  <c r="J339" i="2" s="1"/>
  <c r="G340" i="2"/>
  <c r="H340" i="2" s="1"/>
  <c r="G341" i="2"/>
  <c r="H341" i="2" s="1"/>
  <c r="G342" i="2"/>
  <c r="H342" i="2" s="1"/>
  <c r="G343" i="2"/>
  <c r="J343" i="2" s="1"/>
  <c r="G344" i="2"/>
  <c r="J344" i="2" s="1"/>
  <c r="G345" i="2"/>
  <c r="J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J351" i="2" s="1"/>
  <c r="G352" i="2"/>
  <c r="H352" i="2" s="1"/>
  <c r="G353" i="2"/>
  <c r="H353" i="2" s="1"/>
  <c r="G354" i="2"/>
  <c r="H354" i="2" s="1"/>
  <c r="G355" i="2"/>
  <c r="J355" i="2" s="1"/>
  <c r="G356" i="2"/>
  <c r="J356" i="2" s="1"/>
  <c r="G357" i="2"/>
  <c r="J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J363" i="2" s="1"/>
  <c r="G364" i="2"/>
  <c r="H364" i="2" s="1"/>
  <c r="G365" i="2"/>
  <c r="H365" i="2" s="1"/>
  <c r="G366" i="2"/>
  <c r="H366" i="2" s="1"/>
  <c r="G367" i="2"/>
  <c r="J367" i="2" s="1"/>
  <c r="G368" i="2"/>
  <c r="J368" i="2" s="1"/>
  <c r="G369" i="2"/>
  <c r="J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J375" i="2" s="1"/>
  <c r="G376" i="2"/>
  <c r="H376" i="2" s="1"/>
  <c r="G377" i="2"/>
  <c r="H377" i="2" s="1"/>
  <c r="G378" i="2"/>
  <c r="H378" i="2" s="1"/>
  <c r="G379" i="2"/>
  <c r="J379" i="2" s="1"/>
  <c r="G380" i="2"/>
  <c r="J380" i="2" s="1"/>
  <c r="G381" i="2"/>
  <c r="J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J387" i="2" s="1"/>
  <c r="G388" i="2"/>
  <c r="H388" i="2" s="1"/>
  <c r="G389" i="2"/>
  <c r="H389" i="2" s="1"/>
  <c r="G390" i="2"/>
  <c r="H390" i="2" s="1"/>
  <c r="G391" i="2"/>
  <c r="J391" i="2" s="1"/>
  <c r="G392" i="2"/>
  <c r="J392" i="2" s="1"/>
  <c r="G393" i="2"/>
  <c r="J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J399" i="2" s="1"/>
  <c r="G400" i="2"/>
  <c r="H400" i="2" s="1"/>
  <c r="G401" i="2"/>
  <c r="H401" i="2" s="1"/>
  <c r="G402" i="2"/>
  <c r="H402" i="2" s="1"/>
  <c r="G403" i="2"/>
  <c r="J403" i="2" s="1"/>
  <c r="G404" i="2"/>
  <c r="J404" i="2" s="1"/>
  <c r="G405" i="2"/>
  <c r="J405" i="2" s="1"/>
  <c r="G406" i="2"/>
  <c r="H406" i="2" s="1"/>
  <c r="G407" i="2"/>
  <c r="H407" i="2" s="1"/>
  <c r="G2" i="2"/>
  <c r="H2" i="2" s="1"/>
  <c r="H391" i="2" l="1"/>
  <c r="H355" i="2"/>
  <c r="H319" i="2"/>
  <c r="H283" i="2"/>
  <c r="H247" i="2"/>
  <c r="H211" i="2"/>
  <c r="H175" i="2"/>
  <c r="H139" i="2"/>
  <c r="H103" i="2"/>
  <c r="H67" i="2"/>
  <c r="H31" i="2"/>
  <c r="J354" i="2"/>
  <c r="J316" i="2"/>
  <c r="J280" i="2"/>
  <c r="J244" i="2"/>
  <c r="J208" i="2"/>
  <c r="J172" i="2"/>
  <c r="J136" i="2"/>
  <c r="J100" i="2"/>
  <c r="J64" i="2"/>
  <c r="J28" i="2"/>
  <c r="I409" i="2"/>
  <c r="J397" i="2"/>
  <c r="J353" i="2"/>
  <c r="J313" i="2"/>
  <c r="J277" i="2"/>
  <c r="J241" i="2"/>
  <c r="J205" i="2"/>
  <c r="J169" i="2"/>
  <c r="J133" i="2"/>
  <c r="J97" i="2"/>
  <c r="J61" i="2"/>
  <c r="J25" i="2"/>
  <c r="J342" i="2"/>
  <c r="H379" i="2"/>
  <c r="H343" i="2"/>
  <c r="H307" i="2"/>
  <c r="H271" i="2"/>
  <c r="H235" i="2"/>
  <c r="H199" i="2"/>
  <c r="H163" i="2"/>
  <c r="H127" i="2"/>
  <c r="H91" i="2"/>
  <c r="H55" i="2"/>
  <c r="H19" i="2"/>
  <c r="J385" i="2"/>
  <c r="J341" i="2"/>
  <c r="J304" i="2"/>
  <c r="J268" i="2"/>
  <c r="J232" i="2"/>
  <c r="J196" i="2"/>
  <c r="J160" i="2"/>
  <c r="J124" i="2"/>
  <c r="J88" i="2"/>
  <c r="J52" i="2"/>
  <c r="J16" i="2"/>
  <c r="H375" i="2"/>
  <c r="H339" i="2"/>
  <c r="H303" i="2"/>
  <c r="H267" i="2"/>
  <c r="H231" i="2"/>
  <c r="H195" i="2"/>
  <c r="H159" i="2"/>
  <c r="H123" i="2"/>
  <c r="H87" i="2"/>
  <c r="H51" i="2"/>
  <c r="H15" i="2"/>
  <c r="J377" i="2"/>
  <c r="J337" i="2"/>
  <c r="J294" i="2"/>
  <c r="J258" i="2"/>
  <c r="J222" i="2"/>
  <c r="J186" i="2"/>
  <c r="J150" i="2"/>
  <c r="J114" i="2"/>
  <c r="J78" i="2"/>
  <c r="J42" i="2"/>
  <c r="J6" i="2"/>
  <c r="J378" i="2"/>
  <c r="J340" i="2"/>
  <c r="H404" i="2"/>
  <c r="H368" i="2"/>
  <c r="H332" i="2"/>
  <c r="H296" i="2"/>
  <c r="H260" i="2"/>
  <c r="H224" i="2"/>
  <c r="H188" i="2"/>
  <c r="H152" i="2"/>
  <c r="H116" i="2"/>
  <c r="H80" i="2"/>
  <c r="H44" i="2"/>
  <c r="H8" i="2"/>
  <c r="J373" i="2"/>
  <c r="J330" i="2"/>
  <c r="J293" i="2"/>
  <c r="J257" i="2"/>
  <c r="J221" i="2"/>
  <c r="J185" i="2"/>
  <c r="J149" i="2"/>
  <c r="J113" i="2"/>
  <c r="J77" i="2"/>
  <c r="J41" i="2"/>
  <c r="J5" i="2"/>
  <c r="H403" i="2"/>
  <c r="H367" i="2"/>
  <c r="H331" i="2"/>
  <c r="H295" i="2"/>
  <c r="H259" i="2"/>
  <c r="H223" i="2"/>
  <c r="H187" i="2"/>
  <c r="H151" i="2"/>
  <c r="H115" i="2"/>
  <c r="H79" i="2"/>
  <c r="H43" i="2"/>
  <c r="H7" i="2"/>
  <c r="J366" i="2"/>
  <c r="J329" i="2"/>
  <c r="J292" i="2"/>
  <c r="J256" i="2"/>
  <c r="J220" i="2"/>
  <c r="J184" i="2"/>
  <c r="J148" i="2"/>
  <c r="J112" i="2"/>
  <c r="J76" i="2"/>
  <c r="J40" i="2"/>
  <c r="J4" i="2"/>
  <c r="J365" i="2"/>
  <c r="J325" i="2"/>
  <c r="J289" i="2"/>
  <c r="J253" i="2"/>
  <c r="J217" i="2"/>
  <c r="J181" i="2"/>
  <c r="J145" i="2"/>
  <c r="J109" i="2"/>
  <c r="J73" i="2"/>
  <c r="J37" i="2"/>
  <c r="H405" i="2"/>
  <c r="H393" i="2"/>
  <c r="H381" i="2"/>
  <c r="H369" i="2"/>
  <c r="H357" i="2"/>
  <c r="H345" i="2"/>
  <c r="H333" i="2"/>
  <c r="H321" i="2"/>
  <c r="H309" i="2"/>
  <c r="H297" i="2"/>
  <c r="H285" i="2"/>
  <c r="H273" i="2"/>
  <c r="H261" i="2"/>
  <c r="H249" i="2"/>
  <c r="H237" i="2"/>
  <c r="H225" i="2"/>
  <c r="H213" i="2"/>
  <c r="H201" i="2"/>
  <c r="H189" i="2"/>
  <c r="H177" i="2"/>
  <c r="H165" i="2"/>
  <c r="H153" i="2"/>
  <c r="H141" i="2"/>
  <c r="H129" i="2"/>
  <c r="H117" i="2"/>
  <c r="H105" i="2"/>
  <c r="H93" i="2"/>
  <c r="H81" i="2"/>
  <c r="H69" i="2"/>
  <c r="H57" i="2"/>
  <c r="H45" i="2"/>
  <c r="H33" i="2"/>
  <c r="H21" i="2"/>
  <c r="H9" i="2"/>
  <c r="J400" i="2"/>
  <c r="J328" i="2"/>
  <c r="J388" i="2"/>
  <c r="J376" i="2"/>
  <c r="J352" i="2"/>
  <c r="J398" i="2"/>
  <c r="J386" i="2"/>
  <c r="J374" i="2"/>
  <c r="J362" i="2"/>
  <c r="J350" i="2"/>
  <c r="J338" i="2"/>
  <c r="J326" i="2"/>
  <c r="J314" i="2"/>
  <c r="J302" i="2"/>
  <c r="J290" i="2"/>
  <c r="J278" i="2"/>
  <c r="J266" i="2"/>
  <c r="J254" i="2"/>
  <c r="J242" i="2"/>
  <c r="J230" i="2"/>
  <c r="J218" i="2"/>
  <c r="J206" i="2"/>
  <c r="J194" i="2"/>
  <c r="J182" i="2"/>
  <c r="J170" i="2"/>
  <c r="J158" i="2"/>
  <c r="J146" i="2"/>
  <c r="J134" i="2"/>
  <c r="J122" i="2"/>
  <c r="J110" i="2"/>
  <c r="J98" i="2"/>
  <c r="J86" i="2"/>
  <c r="J74" i="2"/>
  <c r="J62" i="2"/>
  <c r="J50" i="2"/>
  <c r="J38" i="2"/>
  <c r="J26" i="2"/>
  <c r="J14" i="2"/>
  <c r="G409" i="2"/>
  <c r="J2" i="2"/>
  <c r="J396" i="2"/>
  <c r="J384" i="2"/>
  <c r="J372" i="2"/>
  <c r="J360" i="2"/>
  <c r="J348" i="2"/>
  <c r="J336" i="2"/>
  <c r="J324" i="2"/>
  <c r="J312" i="2"/>
  <c r="J300" i="2"/>
  <c r="J288" i="2"/>
  <c r="J276" i="2"/>
  <c r="J264" i="2"/>
  <c r="J252" i="2"/>
  <c r="J240" i="2"/>
  <c r="J228" i="2"/>
  <c r="J216" i="2"/>
  <c r="J204" i="2"/>
  <c r="J192" i="2"/>
  <c r="J180" i="2"/>
  <c r="J168" i="2"/>
  <c r="J156" i="2"/>
  <c r="J144" i="2"/>
  <c r="J132" i="2"/>
  <c r="J120" i="2"/>
  <c r="J108" i="2"/>
  <c r="J96" i="2"/>
  <c r="J84" i="2"/>
  <c r="J72" i="2"/>
  <c r="J60" i="2"/>
  <c r="J48" i="2"/>
  <c r="J36" i="2"/>
  <c r="J24" i="2"/>
  <c r="J12" i="2"/>
  <c r="J407" i="2"/>
  <c r="J395" i="2"/>
  <c r="J383" i="2"/>
  <c r="J371" i="2"/>
  <c r="J359" i="2"/>
  <c r="J347" i="2"/>
  <c r="J335" i="2"/>
  <c r="J323" i="2"/>
  <c r="J311" i="2"/>
  <c r="J299" i="2"/>
  <c r="J287" i="2"/>
  <c r="J275" i="2"/>
  <c r="J263" i="2"/>
  <c r="J251" i="2"/>
  <c r="J239" i="2"/>
  <c r="J227" i="2"/>
  <c r="J215" i="2"/>
  <c r="J203" i="2"/>
  <c r="J191" i="2"/>
  <c r="J179" i="2"/>
  <c r="J167" i="2"/>
  <c r="J155" i="2"/>
  <c r="J143" i="2"/>
  <c r="J131" i="2"/>
  <c r="J119" i="2"/>
  <c r="J107" i="2"/>
  <c r="J95" i="2"/>
  <c r="J83" i="2"/>
  <c r="J71" i="2"/>
  <c r="J59" i="2"/>
  <c r="J47" i="2"/>
  <c r="J35" i="2"/>
  <c r="J23" i="2"/>
  <c r="J11" i="2"/>
  <c r="J406" i="2"/>
  <c r="J394" i="2"/>
  <c r="J382" i="2"/>
  <c r="J370" i="2"/>
  <c r="J358" i="2"/>
  <c r="J346" i="2"/>
  <c r="J334" i="2"/>
  <c r="J322" i="2"/>
  <c r="J310" i="2"/>
  <c r="J298" i="2"/>
  <c r="J286" i="2"/>
  <c r="J274" i="2"/>
  <c r="J262" i="2"/>
  <c r="J250" i="2"/>
  <c r="J238" i="2"/>
  <c r="J226" i="2"/>
  <c r="J214" i="2"/>
  <c r="J202" i="2"/>
  <c r="J190" i="2"/>
  <c r="J178" i="2"/>
  <c r="J166" i="2"/>
  <c r="J154" i="2"/>
  <c r="J142" i="2"/>
  <c r="J130" i="2"/>
  <c r="J118" i="2"/>
  <c r="J106" i="2"/>
  <c r="J94" i="2"/>
  <c r="J82" i="2"/>
  <c r="J70" i="2"/>
  <c r="J58" i="2"/>
  <c r="J46" i="2"/>
  <c r="J34" i="2"/>
  <c r="J22" i="2"/>
  <c r="J10" i="2"/>
  <c r="H409" i="2" l="1"/>
  <c r="I412" i="2" s="1"/>
  <c r="J409" i="2"/>
  <c r="I411" i="2" s="1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2" i="2"/>
</calcChain>
</file>

<file path=xl/connections.xml><?xml version="1.0" encoding="utf-8"?>
<connections xmlns="http://schemas.openxmlformats.org/spreadsheetml/2006/main">
  <connection id="1" keepAlive="1" name="Requête - dataset_2025-11-17T12_56_18 236652798Z_DEFAULT_INTEGRATION_IMF RES_PCPS_9 0 0" description="Connexion à la requête « dataset_2025-11-17T12_56_18 236652798Z_DEFAULT_INTEGRATION_IMF RES_PCPS_9 0 0 » dans le classeur." type="5" refreshedVersion="0" background="1">
    <dbPr connection="Provider=Microsoft.Mashup.OleDb.1;Data Source=$Workbook$;Location=&quot;dataset_2025-11-17T12_56_18 236652798Z_DEFAULT_INTEGRATION_IMF RES_PCPS_9 0 0&quot;;Extended Properties=&quot;&quot;" command="SELECT * FROM [dataset_2025-11-17T12_56_18 236652798Z_DEFAULT_INTEGRATION_IMF RES_PCPS_9 0 0]"/>
  </connection>
</connections>
</file>

<file path=xl/sharedStrings.xml><?xml version="1.0" encoding="utf-8"?>
<sst xmlns="http://schemas.openxmlformats.org/spreadsheetml/2006/main" count="890" uniqueCount="885">
  <si>
    <t>DATA_TRANSFORMATION</t>
  </si>
  <si>
    <t>1992-M01</t>
  </si>
  <si>
    <t>1992-M02</t>
  </si>
  <si>
    <t>1992-M03</t>
  </si>
  <si>
    <t>1992-M04</t>
  </si>
  <si>
    <t>1992-M05</t>
  </si>
  <si>
    <t>1992-M06</t>
  </si>
  <si>
    <t>1992-M07</t>
  </si>
  <si>
    <t>1992-M08</t>
  </si>
  <si>
    <t>1992-M09</t>
  </si>
  <si>
    <t>1992-M10</t>
  </si>
  <si>
    <t>1992-M11</t>
  </si>
  <si>
    <t>1992-M12</t>
  </si>
  <si>
    <t>1993-M01</t>
  </si>
  <si>
    <t>1993-M02</t>
  </si>
  <si>
    <t>1993-M03</t>
  </si>
  <si>
    <t>1993-M04</t>
  </si>
  <si>
    <t>1993-M05</t>
  </si>
  <si>
    <t>1993-M06</t>
  </si>
  <si>
    <t>1993-M07</t>
  </si>
  <si>
    <t>1993-M08</t>
  </si>
  <si>
    <t>1993-M09</t>
  </si>
  <si>
    <t>1993-M10</t>
  </si>
  <si>
    <t>1993-M11</t>
  </si>
  <si>
    <t>1993-M12</t>
  </si>
  <si>
    <t>1994-M01</t>
  </si>
  <si>
    <t>1994-M02</t>
  </si>
  <si>
    <t>1994-M03</t>
  </si>
  <si>
    <t>1994-M04</t>
  </si>
  <si>
    <t>1994-M05</t>
  </si>
  <si>
    <t>1994-M06</t>
  </si>
  <si>
    <t>1994-M07</t>
  </si>
  <si>
    <t>1994-M08</t>
  </si>
  <si>
    <t>1994-M09</t>
  </si>
  <si>
    <t>1994-M10</t>
  </si>
  <si>
    <t>1994-M11</t>
  </si>
  <si>
    <t>1994-M12</t>
  </si>
  <si>
    <t>1995-M01</t>
  </si>
  <si>
    <t>1995-M02</t>
  </si>
  <si>
    <t>1995-M03</t>
  </si>
  <si>
    <t>1995-M04</t>
  </si>
  <si>
    <t>1995-M05</t>
  </si>
  <si>
    <t>1995-M06</t>
  </si>
  <si>
    <t>1995-M07</t>
  </si>
  <si>
    <t>1995-M08</t>
  </si>
  <si>
    <t>1995-M09</t>
  </si>
  <si>
    <t>1995-M10</t>
  </si>
  <si>
    <t>1995-M11</t>
  </si>
  <si>
    <t>1995-M12</t>
  </si>
  <si>
    <t>1996-M01</t>
  </si>
  <si>
    <t>1996-M02</t>
  </si>
  <si>
    <t>1996-M03</t>
  </si>
  <si>
    <t>1996-M04</t>
  </si>
  <si>
    <t>1996-M05</t>
  </si>
  <si>
    <t>1996-M06</t>
  </si>
  <si>
    <t>1996-M07</t>
  </si>
  <si>
    <t>1996-M08</t>
  </si>
  <si>
    <t>1996-M09</t>
  </si>
  <si>
    <t>1996-M10</t>
  </si>
  <si>
    <t>1996-M11</t>
  </si>
  <si>
    <t>1996-M12</t>
  </si>
  <si>
    <t>1997-M01</t>
  </si>
  <si>
    <t>1997-M02</t>
  </si>
  <si>
    <t>1997-M03</t>
  </si>
  <si>
    <t>1997-M04</t>
  </si>
  <si>
    <t>1997-M05</t>
  </si>
  <si>
    <t>1997-M06</t>
  </si>
  <si>
    <t>1997-M07</t>
  </si>
  <si>
    <t>1997-M08</t>
  </si>
  <si>
    <t>1997-M09</t>
  </si>
  <si>
    <t>1997-M10</t>
  </si>
  <si>
    <t>1997-M11</t>
  </si>
  <si>
    <t>1997-M12</t>
  </si>
  <si>
    <t>1998-M01</t>
  </si>
  <si>
    <t>1998-M02</t>
  </si>
  <si>
    <t>1998-M03</t>
  </si>
  <si>
    <t>1998-M04</t>
  </si>
  <si>
    <t>1998-M05</t>
  </si>
  <si>
    <t>1998-M06</t>
  </si>
  <si>
    <t>1998-M07</t>
  </si>
  <si>
    <t>1998-M08</t>
  </si>
  <si>
    <t>1998-M09</t>
  </si>
  <si>
    <t>1998-M10</t>
  </si>
  <si>
    <t>1998-M11</t>
  </si>
  <si>
    <t>1998-M12</t>
  </si>
  <si>
    <t>1999-M01</t>
  </si>
  <si>
    <t>1999-M02</t>
  </si>
  <si>
    <t>1999-M03</t>
  </si>
  <si>
    <t>1999-M04</t>
  </si>
  <si>
    <t>1999-M05</t>
  </si>
  <si>
    <t>1999-M06</t>
  </si>
  <si>
    <t>1999-M07</t>
  </si>
  <si>
    <t>1999-M08</t>
  </si>
  <si>
    <t>1999-M09</t>
  </si>
  <si>
    <t>1999-M10</t>
  </si>
  <si>
    <t>1999-M11</t>
  </si>
  <si>
    <t>1999-M12</t>
  </si>
  <si>
    <t>2000-M01</t>
  </si>
  <si>
    <t>2000-M02</t>
  </si>
  <si>
    <t>2000-M03</t>
  </si>
  <si>
    <t>2000-M04</t>
  </si>
  <si>
    <t>2000-M05</t>
  </si>
  <si>
    <t>2000-M06</t>
  </si>
  <si>
    <t>2000-M07</t>
  </si>
  <si>
    <t>2000-M08</t>
  </si>
  <si>
    <t>2000-M09</t>
  </si>
  <si>
    <t>2000-M10</t>
  </si>
  <si>
    <t>2000-M11</t>
  </si>
  <si>
    <t>2000-M12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</si>
  <si>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</si>
  <si>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</si>
  <si>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</si>
  <si>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</si>
  <si>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</si>
  <si>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</si>
  <si>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</si>
  <si>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</si>
  <si>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</si>
  <si>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</si>
  <si>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</si>
  <si>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</si>
  <si>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</si>
  <si>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</si>
  <si>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</si>
  <si>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</si>
  <si>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</si>
  <si>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</si>
  <si>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</si>
  <si>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</si>
  <si>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</si>
  <si>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</si>
  <si>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</si>
  <si>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</si>
  <si>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</si>
  <si>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</si>
  <si>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</si>
  <si>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</si>
  <si>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</si>
  <si>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</si>
  <si>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</si>
  <si>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</si>
  <si>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</si>
  <si>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</si>
  <si>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</si>
  <si>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</si>
  <si>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</si>
  <si>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</si>
  <si>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</si>
  <si>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</si>
  <si>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</si>
  <si>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</si>
  <si>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</si>
  <si>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</si>
  <si>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</si>
  <si>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</si>
  <si>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</si>
  <si>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</si>
  <si>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</si>
  <si>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</si>
  <si>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</si>
  <si>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</si>
  <si>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</si>
  <si>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</si>
  <si>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</si>
  <si>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</si>
  <si>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</si>
  <si>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</si>
  <si>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</si>
  <si>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</si>
  <si>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</si>
  <si>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</si>
  <si>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</si>
  <si>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</si>
  <si>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</si>
  <si>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</si>
  <si>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</si>
  <si>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</si>
  <si>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</si>
  <si>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</si>
  <si>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</si>
  <si>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</si>
  <si>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</si>
  <si>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</si>
  <si>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</si>
  <si>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</si>
  <si>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</si>
  <si>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</si>
  <si>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</si>
  <si>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</si>
  <si>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</si>
  <si>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</si>
  <si>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</si>
  <si>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</si>
  <si>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</si>
  <si>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</si>
  <si>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</si>
  <si>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</si>
  <si>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</si>
  <si>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</si>
  <si>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</si>
  <si>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</si>
  <si>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</si>
  <si>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</si>
  <si>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</si>
  <si>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</si>
  <si>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</si>
  <si>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</si>
  <si>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</si>
  <si>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</si>
  <si>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</si>
  <si>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</si>
  <si>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</si>
  <si>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</si>
  <si>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</si>
  <si>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</si>
  <si>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</si>
  <si>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</si>
  <si>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</si>
  <si>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</si>
  <si>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</si>
  <si>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</si>
  <si>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</si>
  <si>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</si>
  <si>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</si>
  <si>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</si>
  <si>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</si>
  <si>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</si>
  <si>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</si>
  <si>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</si>
  <si>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</si>
  <si>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</si>
  <si>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</si>
  <si>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</si>
  <si>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</si>
  <si>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</si>
  <si>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</si>
  <si>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</si>
  <si>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</si>
  <si>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</si>
  <si>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</si>
  <si>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</si>
  <si>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</si>
  <si>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</si>
  <si>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</si>
  <si>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</si>
  <si>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</si>
  <si>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</si>
  <si>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</si>
  <si>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</si>
  <si>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</si>
  <si>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</si>
  <si>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</si>
  <si>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</si>
  <si>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</si>
  <si>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</si>
  <si>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</si>
  <si>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</si>
  <si>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</si>
  <si>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</si>
  <si>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</si>
  <si>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</si>
  <si>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</si>
  <si>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</si>
  <si>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</si>
  <si>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</si>
  <si>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</si>
  <si>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</si>
  <si>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</si>
  <si>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</si>
  <si>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</si>
  <si>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</si>
  <si>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</si>
  <si>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</si>
  <si>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</si>
  <si>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</si>
  <si>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</si>
  <si>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</si>
  <si>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</si>
  <si>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</si>
  <si>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</si>
  <si>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</si>
  <si>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</si>
  <si>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</si>
  <si>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</si>
  <si>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</si>
  <si>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</si>
  <si>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</si>
  <si>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</si>
  <si>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</si>
  <si>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</si>
  <si>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</si>
  <si>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</si>
  <si>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</si>
  <si>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</si>
  <si>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</si>
  <si>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</si>
  <si>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</si>
  <si>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</si>
  <si>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</si>
  <si>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</si>
  <si>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</si>
  <si>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</si>
  <si>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</si>
  <si>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</si>
  <si>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</si>
  <si>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</si>
  <si>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</si>
  <si>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</si>
  <si>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</si>
  <si>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</si>
  <si>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</si>
  <si>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</si>
  <si>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</si>
  <si>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</si>
  <si>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</si>
  <si>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</si>
  <si>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</si>
  <si>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</si>
  <si>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</si>
  <si>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</si>
  <si>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</si>
  <si>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</si>
  <si>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</si>
  <si>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</si>
  <si>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</si>
  <si>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</si>
  <si>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</si>
  <si>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</si>
  <si>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</si>
  <si>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</si>
  <si>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</si>
  <si>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</si>
  <si>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</si>
  <si>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</si>
  <si>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</si>
  <si>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</si>
  <si>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</si>
  <si>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</si>
  <si>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</si>
  <si>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</si>
  <si>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</si>
  <si>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</si>
  <si>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</si>
  <si>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</si>
  <si>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</si>
  <si>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</si>
  <si>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</si>
  <si>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</si>
  <si>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</si>
  <si>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</si>
  <si>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</si>
  <si>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</si>
  <si>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</si>
  <si>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</si>
  <si>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</si>
  <si>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</si>
  <si>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</si>
  <si>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</si>
  <si>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</si>
  <si>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</si>
  <si>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</si>
  <si>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</si>
  <si>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</si>
  <si>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</si>
  <si>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</si>
  <si>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</si>
  <si>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</si>
  <si>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</si>
  <si>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</si>
  <si>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</si>
  <si>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</si>
  <si>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</si>
  <si>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</si>
  <si>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</si>
  <si>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</si>
  <si>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</si>
  <si>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</si>
  <si>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</si>
  <si>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</si>
  <si>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</si>
  <si>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</si>
  <si>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</si>
  <si>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</si>
  <si>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</si>
  <si>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</si>
  <si>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</si>
  <si>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</si>
  <si>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</si>
  <si>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</si>
  <si>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</si>
  <si>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</si>
  <si>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</si>
  <si>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</si>
  <si>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</si>
  <si>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</si>
  <si>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</si>
  <si>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</si>
  <si>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</si>
  <si>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</si>
  <si>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</si>
  <si>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</si>
  <si>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</si>
  <si>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</si>
  <si>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</si>
  <si>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</si>
  <si>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</si>
  <si>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</si>
  <si>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US dollars</t>
  </si>
  <si>
    <t>Index</t>
  </si>
  <si>
    <t>1992-Janvier</t>
  </si>
  <si>
    <t>1993-Janvier</t>
  </si>
  <si>
    <t>1994-Janvier</t>
  </si>
  <si>
    <t>1995-Janvier</t>
  </si>
  <si>
    <t>1996-Janvier</t>
  </si>
  <si>
    <t>1997-Janvier</t>
  </si>
  <si>
    <t>1998-Janvier</t>
  </si>
  <si>
    <t>1999-Janvier</t>
  </si>
  <si>
    <t>2000-Janvier</t>
  </si>
  <si>
    <t>2001-Janvier</t>
  </si>
  <si>
    <t>2002-Janvier</t>
  </si>
  <si>
    <t>2003-Janvier</t>
  </si>
  <si>
    <t>2004-Janvier</t>
  </si>
  <si>
    <t>2005-Janvier</t>
  </si>
  <si>
    <t>2006-Janvier</t>
  </si>
  <si>
    <t>2007-Janvier</t>
  </si>
  <si>
    <t>2008-Janvier</t>
  </si>
  <si>
    <t>2009-Janvier</t>
  </si>
  <si>
    <t>2010-Janvier</t>
  </si>
  <si>
    <t>2011-Janvier</t>
  </si>
  <si>
    <t>2012-Janvier</t>
  </si>
  <si>
    <t>2013-Janvier</t>
  </si>
  <si>
    <t>2014-Janvier</t>
  </si>
  <si>
    <t>2015-Janvier</t>
  </si>
  <si>
    <t>2016-Janvier</t>
  </si>
  <si>
    <t>2017-Janvier</t>
  </si>
  <si>
    <t>2018-Janvier</t>
  </si>
  <si>
    <t>2019-Janvier</t>
  </si>
  <si>
    <t>2020-Janvier</t>
  </si>
  <si>
    <t>2021-Janvier</t>
  </si>
  <si>
    <t>2022-Janvier</t>
  </si>
  <si>
    <t>2023-Janvier</t>
  </si>
  <si>
    <t>2024-Janvier</t>
  </si>
  <si>
    <t>2025-Janvier</t>
  </si>
  <si>
    <t>1992-février</t>
  </si>
  <si>
    <t>1993-février</t>
  </si>
  <si>
    <t>1994-février</t>
  </si>
  <si>
    <t>1995-février</t>
  </si>
  <si>
    <t>1996-février</t>
  </si>
  <si>
    <t>1997-février</t>
  </si>
  <si>
    <t>1998-février</t>
  </si>
  <si>
    <t>1999-février</t>
  </si>
  <si>
    <t>2000-février</t>
  </si>
  <si>
    <t>2001-février</t>
  </si>
  <si>
    <t>2002-février</t>
  </si>
  <si>
    <t>2003-février</t>
  </si>
  <si>
    <t>2004-février</t>
  </si>
  <si>
    <t>2005-février</t>
  </si>
  <si>
    <t>2006-février</t>
  </si>
  <si>
    <t>2007-février</t>
  </si>
  <si>
    <t>2008-février</t>
  </si>
  <si>
    <t>2009-février</t>
  </si>
  <si>
    <t>2010-février</t>
  </si>
  <si>
    <t>2011-février</t>
  </si>
  <si>
    <t>2012-février</t>
  </si>
  <si>
    <t>2013-février</t>
  </si>
  <si>
    <t>2014-février</t>
  </si>
  <si>
    <t>2015-février</t>
  </si>
  <si>
    <t>2016-février</t>
  </si>
  <si>
    <t>2017-février</t>
  </si>
  <si>
    <t>2018-février</t>
  </si>
  <si>
    <t>2019-février</t>
  </si>
  <si>
    <t>2020-février</t>
  </si>
  <si>
    <t>2021-février</t>
  </si>
  <si>
    <t>2022-février</t>
  </si>
  <si>
    <t>2023-février</t>
  </si>
  <si>
    <t>2024-février</t>
  </si>
  <si>
    <t>2025-février</t>
  </si>
  <si>
    <t>1992-Mars</t>
  </si>
  <si>
    <t>1993-Mars</t>
  </si>
  <si>
    <t>1994-Mars</t>
  </si>
  <si>
    <t>1995-Mars</t>
  </si>
  <si>
    <t>1996-Mars</t>
  </si>
  <si>
    <t>1997-Mars</t>
  </si>
  <si>
    <t>1998-Mars</t>
  </si>
  <si>
    <t>1999-Mars</t>
  </si>
  <si>
    <t>2000-Mars</t>
  </si>
  <si>
    <t>2001-Mars</t>
  </si>
  <si>
    <t>2002-Mars</t>
  </si>
  <si>
    <t>2003-Mars</t>
  </si>
  <si>
    <t>2004-Mars</t>
  </si>
  <si>
    <t>2005-Mars</t>
  </si>
  <si>
    <t>2006-Mars</t>
  </si>
  <si>
    <t>2007-Mars</t>
  </si>
  <si>
    <t>2008-Mars</t>
  </si>
  <si>
    <t>2009-Mars</t>
  </si>
  <si>
    <t>2010-Mars</t>
  </si>
  <si>
    <t>2011-Mars</t>
  </si>
  <si>
    <t>2012-Mars</t>
  </si>
  <si>
    <t>2013-Mars</t>
  </si>
  <si>
    <t>2014-Mars</t>
  </si>
  <si>
    <t>2015-Mars</t>
  </si>
  <si>
    <t>2016-Mars</t>
  </si>
  <si>
    <t>2017-Mars</t>
  </si>
  <si>
    <t>2018-Mars</t>
  </si>
  <si>
    <t>2019-Mars</t>
  </si>
  <si>
    <t>2020-Mars</t>
  </si>
  <si>
    <t>2021-Mars</t>
  </si>
  <si>
    <t>2022-Mars</t>
  </si>
  <si>
    <t>2023-Mars</t>
  </si>
  <si>
    <t>2024-Mars</t>
  </si>
  <si>
    <t>2025-Mars</t>
  </si>
  <si>
    <t>1992-Avril</t>
  </si>
  <si>
    <t>1993-Avril</t>
  </si>
  <si>
    <t>1994-Avril</t>
  </si>
  <si>
    <t>1995-Avril</t>
  </si>
  <si>
    <t>1996-Avril</t>
  </si>
  <si>
    <t>1997-Avril</t>
  </si>
  <si>
    <t>1998-Avril</t>
  </si>
  <si>
    <t>1999-Avril</t>
  </si>
  <si>
    <t>2000-Avril</t>
  </si>
  <si>
    <t>2001-Avril</t>
  </si>
  <si>
    <t>2002-Avril</t>
  </si>
  <si>
    <t>2003-Avril</t>
  </si>
  <si>
    <t>2004-Avril</t>
  </si>
  <si>
    <t>2005-Avril</t>
  </si>
  <si>
    <t>2006-Avril</t>
  </si>
  <si>
    <t>2007-Avril</t>
  </si>
  <si>
    <t>2008-Avril</t>
  </si>
  <si>
    <t>2009-Avril</t>
  </si>
  <si>
    <t>2010-Avril</t>
  </si>
  <si>
    <t>2011-Avril</t>
  </si>
  <si>
    <t>2012-Avril</t>
  </si>
  <si>
    <t>2013-Avril</t>
  </si>
  <si>
    <t>2014-Avril</t>
  </si>
  <si>
    <t>2015-Avril</t>
  </si>
  <si>
    <t>2016-Avril</t>
  </si>
  <si>
    <t>2017-Avril</t>
  </si>
  <si>
    <t>2018-Avril</t>
  </si>
  <si>
    <t>2019-Avril</t>
  </si>
  <si>
    <t>2020-Avril</t>
  </si>
  <si>
    <t>2021-Avril</t>
  </si>
  <si>
    <t>2022-Avril</t>
  </si>
  <si>
    <t>2023-Avril</t>
  </si>
  <si>
    <t>2024-Avril</t>
  </si>
  <si>
    <t>2025-Avril</t>
  </si>
  <si>
    <t>1992-Mai</t>
  </si>
  <si>
    <t>1993-Mai</t>
  </si>
  <si>
    <t>1994-Mai</t>
  </si>
  <si>
    <t>1995-Mai</t>
  </si>
  <si>
    <t>1996-Mai</t>
  </si>
  <si>
    <t>1997-Mai</t>
  </si>
  <si>
    <t>1998-Mai</t>
  </si>
  <si>
    <t>1999-Mai</t>
  </si>
  <si>
    <t>2000-Mai</t>
  </si>
  <si>
    <t>2001-Mai</t>
  </si>
  <si>
    <t>2002-Mai</t>
  </si>
  <si>
    <t>2003-Mai</t>
  </si>
  <si>
    <t>2004-Mai</t>
  </si>
  <si>
    <t>2005-Mai</t>
  </si>
  <si>
    <t>2006-Mai</t>
  </si>
  <si>
    <t>2007-Mai</t>
  </si>
  <si>
    <t>2008-Mai</t>
  </si>
  <si>
    <t>2009-Mai</t>
  </si>
  <si>
    <t>2010-Mai</t>
  </si>
  <si>
    <t>2011-Mai</t>
  </si>
  <si>
    <t>2012-Mai</t>
  </si>
  <si>
    <t>2013-Mai</t>
  </si>
  <si>
    <t>2014-Mai</t>
  </si>
  <si>
    <t>2015-Mai</t>
  </si>
  <si>
    <t>2016-Mai</t>
  </si>
  <si>
    <t>2017-Mai</t>
  </si>
  <si>
    <t>2018-Mai</t>
  </si>
  <si>
    <t>2019-Mai</t>
  </si>
  <si>
    <t>2020-Mai</t>
  </si>
  <si>
    <t>2021-Mai</t>
  </si>
  <si>
    <t>2022-Mai</t>
  </si>
  <si>
    <t>2023-Mai</t>
  </si>
  <si>
    <t>2024-Mai</t>
  </si>
  <si>
    <t>2025-Mai</t>
  </si>
  <si>
    <t>1992-Juin</t>
  </si>
  <si>
    <t>1993-Juin</t>
  </si>
  <si>
    <t>1994-Juin</t>
  </si>
  <si>
    <t>1995-Juin</t>
  </si>
  <si>
    <t>1996-Juin</t>
  </si>
  <si>
    <t>1997-Juin</t>
  </si>
  <si>
    <t>1998-Juin</t>
  </si>
  <si>
    <t>1999-Juin</t>
  </si>
  <si>
    <t>2000-Juin</t>
  </si>
  <si>
    <t>2001-Juin</t>
  </si>
  <si>
    <t>2002-Juin</t>
  </si>
  <si>
    <t>2003-Juin</t>
  </si>
  <si>
    <t>2004-Juin</t>
  </si>
  <si>
    <t>2005-Juin</t>
  </si>
  <si>
    <t>2006-Juin</t>
  </si>
  <si>
    <t>2007-Juin</t>
  </si>
  <si>
    <t>2008-Juin</t>
  </si>
  <si>
    <t>2009-Juin</t>
  </si>
  <si>
    <t>2010-Juin</t>
  </si>
  <si>
    <t>2011-Juin</t>
  </si>
  <si>
    <t>2012-Juin</t>
  </si>
  <si>
    <t>2013-Juin</t>
  </si>
  <si>
    <t>2014-Juin</t>
  </si>
  <si>
    <t>2015-Juin</t>
  </si>
  <si>
    <t>2016-Juin</t>
  </si>
  <si>
    <t>2017-Juin</t>
  </si>
  <si>
    <t>2018-Juin</t>
  </si>
  <si>
    <t>2019-Juin</t>
  </si>
  <si>
    <t>2020-Juin</t>
  </si>
  <si>
    <t>2021-Juin</t>
  </si>
  <si>
    <t>2022-Juin</t>
  </si>
  <si>
    <t>2023-Juin</t>
  </si>
  <si>
    <t>2024-Juin</t>
  </si>
  <si>
    <t>2025-Juin</t>
  </si>
  <si>
    <t>1992-Juillet</t>
  </si>
  <si>
    <t>1993-Juillet</t>
  </si>
  <si>
    <t>1994-Juillet</t>
  </si>
  <si>
    <t>1995-Juillet</t>
  </si>
  <si>
    <t>1996-Juillet</t>
  </si>
  <si>
    <t>1997-Juillet</t>
  </si>
  <si>
    <t>1998-Juillet</t>
  </si>
  <si>
    <t>1999-Juillet</t>
  </si>
  <si>
    <t>2000-Juillet</t>
  </si>
  <si>
    <t>2001-Juillet</t>
  </si>
  <si>
    <t>2002-Juillet</t>
  </si>
  <si>
    <t>2003-Juillet</t>
  </si>
  <si>
    <t>2004-Juillet</t>
  </si>
  <si>
    <t>2005-Juillet</t>
  </si>
  <si>
    <t>2006-Juillet</t>
  </si>
  <si>
    <t>2007-Juillet</t>
  </si>
  <si>
    <t>2008-Juillet</t>
  </si>
  <si>
    <t>2009-Juillet</t>
  </si>
  <si>
    <t>2010-Juillet</t>
  </si>
  <si>
    <t>2011-Juillet</t>
  </si>
  <si>
    <t>2012-Juillet</t>
  </si>
  <si>
    <t>2013-Juillet</t>
  </si>
  <si>
    <t>2014-Juillet</t>
  </si>
  <si>
    <t>2015-Juillet</t>
  </si>
  <si>
    <t>2016-Juillet</t>
  </si>
  <si>
    <t>2017-Juillet</t>
  </si>
  <si>
    <t>2018-Juillet</t>
  </si>
  <si>
    <t>2019-Juillet</t>
  </si>
  <si>
    <t>2020-Juillet</t>
  </si>
  <si>
    <t>2021-Juillet</t>
  </si>
  <si>
    <t>2022-Juillet</t>
  </si>
  <si>
    <t>2023-Juillet</t>
  </si>
  <si>
    <t>2024-Juillet</t>
  </si>
  <si>
    <t>2025-Juillet</t>
  </si>
  <si>
    <t>1992-Août</t>
  </si>
  <si>
    <t>1993-Août</t>
  </si>
  <si>
    <t>1994-Août</t>
  </si>
  <si>
    <t>1995-Août</t>
  </si>
  <si>
    <t>1996-Août</t>
  </si>
  <si>
    <t>1997-Août</t>
  </si>
  <si>
    <t>1998-Août</t>
  </si>
  <si>
    <t>1999-Août</t>
  </si>
  <si>
    <t>2000-Août</t>
  </si>
  <si>
    <t>2001-Août</t>
  </si>
  <si>
    <t>2002-Août</t>
  </si>
  <si>
    <t>2003-Août</t>
  </si>
  <si>
    <t>2004-Août</t>
  </si>
  <si>
    <t>2005-Août</t>
  </si>
  <si>
    <t>2006-Août</t>
  </si>
  <si>
    <t>2007-Août</t>
  </si>
  <si>
    <t>2008-Août</t>
  </si>
  <si>
    <t>2009-Août</t>
  </si>
  <si>
    <t>2010-Août</t>
  </si>
  <si>
    <t>2011-Août</t>
  </si>
  <si>
    <t>2012-Août</t>
  </si>
  <si>
    <t>2013-Août</t>
  </si>
  <si>
    <t>2014-Août</t>
  </si>
  <si>
    <t>2015-Août</t>
  </si>
  <si>
    <t>2016-Août</t>
  </si>
  <si>
    <t>2017-Août</t>
  </si>
  <si>
    <t>2018-Août</t>
  </si>
  <si>
    <t>2019-Août</t>
  </si>
  <si>
    <t>2020-Août</t>
  </si>
  <si>
    <t>2021-Août</t>
  </si>
  <si>
    <t>2022-Août</t>
  </si>
  <si>
    <t>2023-Août</t>
  </si>
  <si>
    <t>2024-Août</t>
  </si>
  <si>
    <t>2025-Août</t>
  </si>
  <si>
    <t>1992-Septembre</t>
  </si>
  <si>
    <t>1993-Septembre</t>
  </si>
  <si>
    <t>1994-Septembre</t>
  </si>
  <si>
    <t>1995-Septembre</t>
  </si>
  <si>
    <t>1996-Septembre</t>
  </si>
  <si>
    <t>1997-Septembre</t>
  </si>
  <si>
    <t>1998-Septembre</t>
  </si>
  <si>
    <t>1999-Septembre</t>
  </si>
  <si>
    <t>2000-Septembre</t>
  </si>
  <si>
    <t>2001-Septembre</t>
  </si>
  <si>
    <t>2002-Septembre</t>
  </si>
  <si>
    <t>2003-Septembre</t>
  </si>
  <si>
    <t>2004-Septembre</t>
  </si>
  <si>
    <t>2005-Septembre</t>
  </si>
  <si>
    <t>2006-Septembre</t>
  </si>
  <si>
    <t>2007-Septembre</t>
  </si>
  <si>
    <t>2008-Septembre</t>
  </si>
  <si>
    <t>2009-Septembre</t>
  </si>
  <si>
    <t>2010-Septembre</t>
  </si>
  <si>
    <t>2011-Septembre</t>
  </si>
  <si>
    <t>2012-Septembre</t>
  </si>
  <si>
    <t>2013-Septembre</t>
  </si>
  <si>
    <t>2014-Septembre</t>
  </si>
  <si>
    <t>2015-Septembre</t>
  </si>
  <si>
    <t>2016-Septembre</t>
  </si>
  <si>
    <t>2017-Septembre</t>
  </si>
  <si>
    <t>2018-Septembre</t>
  </si>
  <si>
    <t>2019-Septembre</t>
  </si>
  <si>
    <t>2020-Septembre</t>
  </si>
  <si>
    <t>2021-Septembre</t>
  </si>
  <si>
    <t>2022-Septembre</t>
  </si>
  <si>
    <t>2023-Septembre</t>
  </si>
  <si>
    <t>2024-Septembre</t>
  </si>
  <si>
    <t>2025-Septembre</t>
  </si>
  <si>
    <t>1992-Octobre</t>
  </si>
  <si>
    <t>1993-Octobre</t>
  </si>
  <si>
    <t>1994-Octobre</t>
  </si>
  <si>
    <t>1995-Octobre</t>
  </si>
  <si>
    <t>1996-Octobre</t>
  </si>
  <si>
    <t>1997-Octobre</t>
  </si>
  <si>
    <t>1998-Octobre</t>
  </si>
  <si>
    <t>1999-Octobre</t>
  </si>
  <si>
    <t>2000-Octobre</t>
  </si>
  <si>
    <t>2001-Octobre</t>
  </si>
  <si>
    <t>2002-Octobre</t>
  </si>
  <si>
    <t>2003-Octobre</t>
  </si>
  <si>
    <t>2004-Octobre</t>
  </si>
  <si>
    <t>2005-Octobre</t>
  </si>
  <si>
    <t>2006-Octobre</t>
  </si>
  <si>
    <t>2007-Octobre</t>
  </si>
  <si>
    <t>2008-Octobre</t>
  </si>
  <si>
    <t>2009-Octobre</t>
  </si>
  <si>
    <t>2010-Octobre</t>
  </si>
  <si>
    <t>2011-Octobre</t>
  </si>
  <si>
    <t>2012-Octobre</t>
  </si>
  <si>
    <t>2013-Octobre</t>
  </si>
  <si>
    <t>2014-Octobre</t>
  </si>
  <si>
    <t>2015-Octobre</t>
  </si>
  <si>
    <t>2016-Octobre</t>
  </si>
  <si>
    <t>2017-Octobre</t>
  </si>
  <si>
    <t>2018-Octobre</t>
  </si>
  <si>
    <t>2019-Octobre</t>
  </si>
  <si>
    <t>2020-Octobre</t>
  </si>
  <si>
    <t>2021-Octobre</t>
  </si>
  <si>
    <t>2022-Octobre</t>
  </si>
  <si>
    <t>2023-Octobre</t>
  </si>
  <si>
    <t>2024-Octobre</t>
  </si>
  <si>
    <t>2025-Octobre</t>
  </si>
  <si>
    <t>1992-Novembre</t>
  </si>
  <si>
    <t>1993-Novembre</t>
  </si>
  <si>
    <t>1994-Novembre</t>
  </si>
  <si>
    <t>1995-Novembre</t>
  </si>
  <si>
    <t>1996-Novembre</t>
  </si>
  <si>
    <t>1997-Novembre</t>
  </si>
  <si>
    <t>1998-Novembre</t>
  </si>
  <si>
    <t>1999-Novembre</t>
  </si>
  <si>
    <t>2000-Novembre</t>
  </si>
  <si>
    <t>2001-Novembre</t>
  </si>
  <si>
    <t>2002-Novembre</t>
  </si>
  <si>
    <t>2003-Novembre</t>
  </si>
  <si>
    <t>2004-Novembre</t>
  </si>
  <si>
    <t>2005-Novembre</t>
  </si>
  <si>
    <t>2006-Novembre</t>
  </si>
  <si>
    <t>2007-Novembre</t>
  </si>
  <si>
    <t>2008-Novembre</t>
  </si>
  <si>
    <t>2009-Novembre</t>
  </si>
  <si>
    <t>2010-Novembre</t>
  </si>
  <si>
    <t>2011-Novembre</t>
  </si>
  <si>
    <t>2012-Novembre</t>
  </si>
  <si>
    <t>2013-Novembre</t>
  </si>
  <si>
    <t>2014-Novembre</t>
  </si>
  <si>
    <t>2015-Novembre</t>
  </si>
  <si>
    <t>2016-Novembre</t>
  </si>
  <si>
    <t>2017-Novembre</t>
  </si>
  <si>
    <t>2018-Novembre</t>
  </si>
  <si>
    <t>2019-Novembre</t>
  </si>
  <si>
    <t>2020-Novembre</t>
  </si>
  <si>
    <t>2021-Novembre</t>
  </si>
  <si>
    <t>2022-Novembre</t>
  </si>
  <si>
    <t>2023-Novembre</t>
  </si>
  <si>
    <t>2024-Novembre</t>
  </si>
  <si>
    <t>1992-Décembre</t>
  </si>
  <si>
    <t>1993-Décembre</t>
  </si>
  <si>
    <t>1994-Décembre</t>
  </si>
  <si>
    <t>1995-Décembre</t>
  </si>
  <si>
    <t>1996-Décembre</t>
  </si>
  <si>
    <t>1997-Décembre</t>
  </si>
  <si>
    <t>1998-Décembre</t>
  </si>
  <si>
    <t>1999-Décembre</t>
  </si>
  <si>
    <t>2000-Décembre</t>
  </si>
  <si>
    <t>2001-Décembre</t>
  </si>
  <si>
    <t>2002-Décembre</t>
  </si>
  <si>
    <t>2003-Décembre</t>
  </si>
  <si>
    <t>2004-Décembre</t>
  </si>
  <si>
    <t>2005-Décembre</t>
  </si>
  <si>
    <t>2006-Décembre</t>
  </si>
  <si>
    <t>2007-Décembre</t>
  </si>
  <si>
    <t>2008-Décembre</t>
  </si>
  <si>
    <t>2009-Décembre</t>
  </si>
  <si>
    <t>2010-Décembre</t>
  </si>
  <si>
    <t>2011-Décembre</t>
  </si>
  <si>
    <t>2012-Décembre</t>
  </si>
  <si>
    <t>2013-Décembre</t>
  </si>
  <si>
    <t>2014-Décembre</t>
  </si>
  <si>
    <t>2015-Décembre</t>
  </si>
  <si>
    <t>2016-Décembre</t>
  </si>
  <si>
    <t>2017-Décembre</t>
  </si>
  <si>
    <t>2018-Décembre</t>
  </si>
  <si>
    <t>2019-Décembre</t>
  </si>
  <si>
    <t>2020-Décembre</t>
  </si>
  <si>
    <t>2021-Décembre</t>
  </si>
  <si>
    <t>2022-Décembre</t>
  </si>
  <si>
    <t>2023-Décembre</t>
  </si>
  <si>
    <t>2024-Décembre</t>
  </si>
  <si>
    <t>Année</t>
  </si>
  <si>
    <t>Mois</t>
  </si>
  <si>
    <t>ft</t>
  </si>
  <si>
    <t>t</t>
  </si>
  <si>
    <t>a</t>
  </si>
  <si>
    <t>b</t>
  </si>
  <si>
    <t>(y-y^)²</t>
  </si>
  <si>
    <t>(y-ybbar)²</t>
  </si>
  <si>
    <t>(y^-ybar)²</t>
  </si>
  <si>
    <t>TOTAL</t>
  </si>
  <si>
    <t>SR</t>
  </si>
  <si>
    <t>ST</t>
  </si>
  <si>
    <t>SM</t>
  </si>
  <si>
    <t>R²</t>
  </si>
  <si>
    <t>Étiquettes de lignes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</si>
  <si>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</si>
  <si>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</si>
  <si>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</si>
  <si>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</si>
  <si>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</si>
  <si>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</si>
  <si>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</si>
  <si>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</si>
  <si>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</si>
  <si>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</si>
  <si>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</si>
  <si>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</si>
  <si>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</si>
  <si>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</si>
  <si>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</si>
  <si>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</si>
  <si>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</si>
  <si>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</si>
  <si>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</si>
  <si>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</si>
  <si>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</si>
  <si>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</si>
  <si>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</si>
  <si>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</si>
  <si>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</si>
  <si>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</si>
  <si>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</si>
  <si>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</si>
  <si>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</si>
  <si>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</si>
  <si>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</si>
  <si>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</si>
  <si>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</si>
  <si>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</si>
  <si>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(vide)</t>
  </si>
  <si>
    <t>Total général</t>
  </si>
  <si>
    <t>Étiquettes de colonnes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</si>
  <si>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</si>
  <si>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</si>
  <si>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</si>
  <si>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</si>
  <si>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</si>
  <si>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</si>
  <si>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</si>
  <si>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</si>
  <si>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</si>
  <si>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</si>
  <si>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</si>
  <si>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</si>
  <si>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Somme de US dollars</t>
  </si>
  <si>
    <t>moyenne</t>
  </si>
  <si>
    <t>écart type</t>
  </si>
  <si>
    <t xml:space="preserve">Commentaire : </t>
  </si>
  <si>
    <t>Ici, nous constatons que plus la moyenne augmente, plus l'écart-type augmente</t>
  </si>
  <si>
    <t xml:space="preserve">Nuous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</si>
</sst>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40C]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18" fillId="0" borderId="0" xfId="0" applyFont="1"/>
    <xf numFmtId="0" fontId="18" fillId="33" borderId="0" xfId="0" applyFont="1" applyFill="1"/>
    <xf numFmtId="166" fontId="18" fillId="33" borderId="0" xfId="0" applyNumberFormat="1" applyFont="1" applyFill="1"/>
    <xf numFmtId="166" fontId="0" fillId="0" borderId="0" xfId="0" applyNumberFormat="1"/>
    <xf numFmtId="0" fontId="18" fillId="34" borderId="0" xfId="0" applyFont="1" applyFill="1"/>
    <xf numFmtId="0" fontId="0" fillId="34" borderId="0" xfId="0" applyFill="1"/>
    <xf numFmtId="0" fontId="0" fillId="3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9" fillId="36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033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écart type selon la moyenne par année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Feuil2!$Q$3:$Q$4</c:f>
              <c:strCache>
                <c:ptCount val="2"/>
                <c:pt idx="1">
                  <c:v>écart type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7942038495188103E-2"/>
                  <c:y val="-0.290431612715077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Feuil2!$P$5:$P$41</c:f>
              <c:numCache>
                <c:formatCode>General</c:formatCode>
                <c:ptCount val="37"/>
                <c:pt idx="0">
                  <c:v>1256.2749938964876</c:v>
                </c:pt>
                <c:pt idx="1">
                  <c:v>1139.9307759602873</c:v>
                </c:pt>
                <c:pt idx="2">
                  <c:v>1475.6296895345067</c:v>
                </c:pt>
                <c:pt idx="3">
                  <c:v>1805.0204874674494</c:v>
                </c:pt>
                <c:pt idx="4">
                  <c:v>1506.7939147949235</c:v>
                </c:pt>
                <c:pt idx="5">
                  <c:v>1599.2944437662775</c:v>
                </c:pt>
                <c:pt idx="6">
                  <c:v>1357.5716959635445</c:v>
                </c:pt>
                <c:pt idx="7">
                  <c:v>1359.9888089169083</c:v>
                </c:pt>
                <c:pt idx="8">
                  <c:v>1551.4977867965365</c:v>
                </c:pt>
                <c:pt idx="9">
                  <c:v>1446.7465695270196</c:v>
                </c:pt>
                <c:pt idx="10">
                  <c:v>1351.0572298293482</c:v>
                </c:pt>
                <c:pt idx="11">
                  <c:v>1432.8167791658825</c:v>
                </c:pt>
                <c:pt idx="12">
                  <c:v>1718.495971986951</c:v>
                </c:pt>
                <c:pt idx="13">
                  <c:v>1900.5060335497835</c:v>
                </c:pt>
                <c:pt idx="14">
                  <c:v>2573.0634709302899</c:v>
                </c:pt>
                <c:pt idx="15">
                  <c:v>2639.8607875192752</c:v>
                </c:pt>
                <c:pt idx="16">
                  <c:v>2577.9158586498384</c:v>
                </c:pt>
                <c:pt idx="17">
                  <c:v>1668.4893784919316</c:v>
                </c:pt>
                <c:pt idx="18">
                  <c:v>2172.9943531795557</c:v>
                </c:pt>
                <c:pt idx="19">
                  <c:v>2400.6433252164502</c:v>
                </c:pt>
                <c:pt idx="20">
                  <c:v>2022.7953802614254</c:v>
                </c:pt>
                <c:pt idx="21">
                  <c:v>1846.6769268774704</c:v>
                </c:pt>
                <c:pt idx="22">
                  <c:v>1867.4210609589684</c:v>
                </c:pt>
                <c:pt idx="23">
                  <c:v>1664.6806731316935</c:v>
                </c:pt>
                <c:pt idx="24">
                  <c:v>1604.1819218975468</c:v>
                </c:pt>
                <c:pt idx="25">
                  <c:v>1967.6545713482226</c:v>
                </c:pt>
                <c:pt idx="26">
                  <c:v>2108.4741850405821</c:v>
                </c:pt>
                <c:pt idx="27">
                  <c:v>1794.488036851433</c:v>
                </c:pt>
                <c:pt idx="28">
                  <c:v>1704.09603045121</c:v>
                </c:pt>
                <c:pt idx="29">
                  <c:v>2472.9523126293993</c:v>
                </c:pt>
                <c:pt idx="30">
                  <c:v>2706.988189080243</c:v>
                </c:pt>
                <c:pt idx="31">
                  <c:v>2256.0863451675136</c:v>
                </c:pt>
                <c:pt idx="32">
                  <c:v>2420.9452016516075</c:v>
                </c:pt>
                <c:pt idx="33">
                  <c:v>2587.2517730566537</c:v>
                </c:pt>
              </c:numCache>
            </c:numRef>
          </c:xVal>
          <c:yVal>
            <c:numRef>
              <c:f>Feuil2!$Q$5:$Q$41</c:f>
              <c:numCache>
                <c:formatCode>General</c:formatCode>
                <c:ptCount val="37"/>
                <c:pt idx="0">
                  <c:v>54.678743053028228</c:v>
                </c:pt>
                <c:pt idx="1">
                  <c:v>50.940092067193412</c:v>
                </c:pt>
                <c:pt idx="2">
                  <c:v>228.66227094262655</c:v>
                </c:pt>
                <c:pt idx="3">
                  <c:v>113.2009692101644</c:v>
                </c:pt>
                <c:pt idx="4">
                  <c:v>84.77306884060566</c:v>
                </c:pt>
                <c:pt idx="5">
                  <c:v>43.144910860195559</c:v>
                </c:pt>
                <c:pt idx="6">
                  <c:v>72.772161160146993</c:v>
                </c:pt>
                <c:pt idx="7">
                  <c:v>122.1166910992757</c:v>
                </c:pt>
                <c:pt idx="8">
                  <c:v>72.32261494841957</c:v>
                </c:pt>
                <c:pt idx="9">
                  <c:v>106.84935288256685</c:v>
                </c:pt>
                <c:pt idx="10">
                  <c:v>32.646348949341835</c:v>
                </c:pt>
                <c:pt idx="11">
                  <c:v>58.530605799381945</c:v>
                </c:pt>
                <c:pt idx="12">
                  <c:v>75.484497495444188</c:v>
                </c:pt>
                <c:pt idx="13">
                  <c:v>139.26603517191509</c:v>
                </c:pt>
                <c:pt idx="14">
                  <c:v>149.40125967810897</c:v>
                </c:pt>
                <c:pt idx="15">
                  <c:v>169.96642339187369</c:v>
                </c:pt>
                <c:pt idx="16">
                  <c:v>484.41911694158688</c:v>
                </c:pt>
                <c:pt idx="17">
                  <c:v>269.02304506810003</c:v>
                </c:pt>
                <c:pt idx="18">
                  <c:v>140.73799191235662</c:v>
                </c:pt>
                <c:pt idx="19">
                  <c:v>201.98000836681109</c:v>
                </c:pt>
                <c:pt idx="20">
                  <c:v>116.9240515979567</c:v>
                </c:pt>
                <c:pt idx="21">
                  <c:v>100.51131380199848</c:v>
                </c:pt>
                <c:pt idx="22">
                  <c:v>124.07704745441566</c:v>
                </c:pt>
                <c:pt idx="23">
                  <c:v>132.38196861925576</c:v>
                </c:pt>
                <c:pt idx="24">
                  <c:v>75.62263184578805</c:v>
                </c:pt>
                <c:pt idx="25">
                  <c:v>107.99021331965001</c:v>
                </c:pt>
                <c:pt idx="26">
                  <c:v>120.02894182581377</c:v>
                </c:pt>
                <c:pt idx="27">
                  <c:v>48.769191538526663</c:v>
                </c:pt>
                <c:pt idx="28">
                  <c:v>161.99397076568476</c:v>
                </c:pt>
                <c:pt idx="29">
                  <c:v>276.65511672842229</c:v>
                </c:pt>
                <c:pt idx="30">
                  <c:v>423.7471187109233</c:v>
                </c:pt>
                <c:pt idx="31">
                  <c:v>106.51530447763827</c:v>
                </c:pt>
                <c:pt idx="32">
                  <c:v>146.71973562444211</c:v>
                </c:pt>
                <c:pt idx="33">
                  <c:v>113.12060469865968</c:v>
                </c:pt>
                <c:pt idx="34">
                  <c:v>0</c:v>
                </c:pt>
                <c:pt idx="35">
                  <c:v>0</c:v>
                </c:pt>
                <c:pt idx="36">
                  <c:v>1130.1000113158198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0-4286-82C5-16C9F496A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862015"/>
        <c:axId val="1684867423"/>
      </c:scatterChart>
      <c:valAx>
        <c:axId val="168486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moyenne par année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867423"/>
        <c:crosses val="autoZero"/>
        <c:crossBetween val="midCat"/>
      </c:valAx>
      <c:valAx>
        <c:axId val="16848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écart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4862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moyenne par mois</a:t>
            </a:r>
          </a:p>
        </c:rich>
      </c:tx>
      <c:layout>
        <c:manualLayout>
          <c:xMode val="edge"/>
          <c:yMode val="edge"/>
          <c:x val="0.339743000874890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Feuil2!$B$4:$M$4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Feuil2!$B$42:$M$42</c:f>
              <c:numCache>
                <c:formatCode>General</c:formatCode>
                <c:ptCount val="12"/>
                <c:pt idx="0">
                  <c:v>1877.2057075095195</c:v>
                </c:pt>
                <c:pt idx="1">
                  <c:v>1899.5381914677985</c:v>
                </c:pt>
                <c:pt idx="2">
                  <c:v>1901.2677073517657</c:v>
                </c:pt>
                <c:pt idx="3">
                  <c:v>1907.9559145622165</c:v>
                </c:pt>
                <c:pt idx="4">
                  <c:v>1887.4714175380379</c:v>
                </c:pt>
                <c:pt idx="5">
                  <c:v>1857.7166316859907</c:v>
                </c:pt>
                <c:pt idx="6">
                  <c:v>1873.8134360408214</c:v>
                </c:pt>
                <c:pt idx="7">
                  <c:v>1872.7724960380835</c:v>
                </c:pt>
                <c:pt idx="8">
                  <c:v>1867.1866627990869</c:v>
                </c:pt>
                <c:pt idx="9">
                  <c:v>1873.5557681481848</c:v>
                </c:pt>
                <c:pt idx="10">
                  <c:v>1849.463981341418</c:v>
                </c:pt>
                <c:pt idx="11">
                  <c:v>1862.9136637992519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4-4DED-A6B4-8FEA5A4A0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536367"/>
        <c:axId val="1688544271"/>
      </c:barChart>
      <c:catAx>
        <c:axId val="168853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544271"/>
        <c:crosses val="autoZero"/>
        <c:auto val="1"/>
        <c:lblAlgn val="ctr"/>
        <c:lblOffset val="100"/>
        <c:noMultiLvlLbl val="0"/>
      </c:catAx>
      <c:valAx>
        <c:axId val="168854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53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'dataset_2025-11-17T12_56_18.236'!$D$1</c:f>
              <c:strCache>
                <c:ptCount val="1"/>
                <c:pt idx="0">
                  <c:v>US dollars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029121454513045E-3"/>
                  <c:y val="0.166315364425600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cat>
            <c:strRef>
              <c:f>'dataset_2025-11-17T12_56_18.236'!$C$2:$C$407</c:f>
              <c:strCache>
                <c:ptCount val="406"/>
                <c:pt idx="0">
                  <c:v>1992-Janvier</c:v>
                </c:pt>
                <c:pt idx="1">
                  <c:v>1992-février</c:v>
                </c:pt>
                <c:pt idx="2">
                  <c:v>1992-Mars</c:v>
                </c:pt>
                <c:pt idx="3">
                  <c:v>1992-Avril</c:v>
                </c:pt>
                <c:pt idx="4">
                  <c:v>1992-Mai</c:v>
                </c:pt>
                <c:pt idx="5">
                  <c:v>1992-Juin</c:v>
                </c:pt>
                <c:pt idx="6">
                  <c:v>1992-Juillet</c:v>
                </c:pt>
                <c:pt idx="7">
                  <c:v>1992-Août</c:v>
                </c:pt>
                <c:pt idx="8">
                  <c:v>1992-Septembre</c:v>
                </c:pt>
                <c:pt idx="9">
                  <c:v>1992-Octobre</c:v>
                </c:pt>
                <c:pt idx="10">
                  <c:v>1992-Novembre</c:v>
                </c:pt>
                <c:pt idx="11">
                  <c:v>1992-Décembre</c:v>
                </c:pt>
                <c:pt idx="12">
                  <c:v>1993-Janvier</c:v>
                </c:pt>
                <c:pt idx="13">
                  <c:v>1993-février</c:v>
                </c:pt>
                <c:pt idx="14">
                  <c:v>1993-Mars</c:v>
                </c:pt>
                <c:pt idx="15">
                  <c:v>1993-Avril</c:v>
                </c:pt>
                <c:pt idx="16">
                  <c:v>1993-Mai</c:v>
                </c:pt>
                <c:pt idx="17">
                  <c:v>1993-Juin</c:v>
                </c:pt>
                <c:pt idx="18">
                  <c:v>1993-Juillet</c:v>
                </c:pt>
                <c:pt idx="19">
                  <c:v>1993-Août</c:v>
                </c:pt>
                <c:pt idx="20">
                  <c:v>1993-Septembre</c:v>
                </c:pt>
                <c:pt idx="21">
                  <c:v>1993-Octobre</c:v>
                </c:pt>
                <c:pt idx="22">
                  <c:v>1993-Novembre</c:v>
                </c:pt>
                <c:pt idx="23">
                  <c:v>1993-Décembre</c:v>
                </c:pt>
                <c:pt idx="24">
                  <c:v>1994-Janvier</c:v>
                </c:pt>
                <c:pt idx="25">
                  <c:v>1994-février</c:v>
                </c:pt>
                <c:pt idx="26">
                  <c:v>1994-Mars</c:v>
                </c:pt>
                <c:pt idx="27">
                  <c:v>1994-Avril</c:v>
                </c:pt>
                <c:pt idx="28">
                  <c:v>1994-Mai</c:v>
                </c:pt>
                <c:pt idx="29">
                  <c:v>1994-Juin</c:v>
                </c:pt>
                <c:pt idx="30">
                  <c:v>1994-Juillet</c:v>
                </c:pt>
                <c:pt idx="31">
                  <c:v>1994-Août</c:v>
                </c:pt>
                <c:pt idx="32">
                  <c:v>1994-Septembre</c:v>
                </c:pt>
                <c:pt idx="33">
                  <c:v>1994-Octobre</c:v>
                </c:pt>
                <c:pt idx="34">
                  <c:v>1994-Novembre</c:v>
                </c:pt>
                <c:pt idx="35">
                  <c:v>1994-Décembre</c:v>
                </c:pt>
                <c:pt idx="36">
                  <c:v>1995-Janvier</c:v>
                </c:pt>
                <c:pt idx="37">
                  <c:v>1995-février</c:v>
                </c:pt>
                <c:pt idx="38">
                  <c:v>1995-Mars</c:v>
                </c:pt>
                <c:pt idx="39">
                  <c:v>1995-Avril</c:v>
                </c:pt>
                <c:pt idx="40">
                  <c:v>1995-Mai</c:v>
                </c:pt>
                <c:pt idx="41">
                  <c:v>1995-Juin</c:v>
                </c:pt>
                <c:pt idx="42">
                  <c:v>1995-Juillet</c:v>
                </c:pt>
                <c:pt idx="43">
                  <c:v>1995-Août</c:v>
                </c:pt>
                <c:pt idx="44">
                  <c:v>1995-Septembre</c:v>
                </c:pt>
                <c:pt idx="45">
                  <c:v>1995-Octobre</c:v>
                </c:pt>
                <c:pt idx="46">
                  <c:v>1995-Novembre</c:v>
                </c:pt>
                <c:pt idx="47">
                  <c:v>1995-Décembre</c:v>
                </c:pt>
                <c:pt idx="48">
                  <c:v>1996-Janvier</c:v>
                </c:pt>
                <c:pt idx="49">
                  <c:v>1996-février</c:v>
                </c:pt>
                <c:pt idx="50">
                  <c:v>1996-Mars</c:v>
                </c:pt>
                <c:pt idx="51">
                  <c:v>1996-Avril</c:v>
                </c:pt>
                <c:pt idx="52">
                  <c:v>1996-Mai</c:v>
                </c:pt>
                <c:pt idx="53">
                  <c:v>1996-Juin</c:v>
                </c:pt>
                <c:pt idx="54">
                  <c:v>1996-Juillet</c:v>
                </c:pt>
                <c:pt idx="55">
                  <c:v>1996-Août</c:v>
                </c:pt>
                <c:pt idx="56">
                  <c:v>1996-Septembre</c:v>
                </c:pt>
                <c:pt idx="57">
                  <c:v>1996-Octobre</c:v>
                </c:pt>
                <c:pt idx="58">
                  <c:v>1996-Novembre</c:v>
                </c:pt>
                <c:pt idx="59">
                  <c:v>1996-Décembre</c:v>
                </c:pt>
                <c:pt idx="60">
                  <c:v>1997-Janvier</c:v>
                </c:pt>
                <c:pt idx="61">
                  <c:v>1997-février</c:v>
                </c:pt>
                <c:pt idx="62">
                  <c:v>1997-Mars</c:v>
                </c:pt>
                <c:pt idx="63">
                  <c:v>1997-Avril</c:v>
                </c:pt>
                <c:pt idx="64">
                  <c:v>1997-Mai</c:v>
                </c:pt>
                <c:pt idx="65">
                  <c:v>1997-Juin</c:v>
                </c:pt>
                <c:pt idx="66">
                  <c:v>1997-Juillet</c:v>
                </c:pt>
                <c:pt idx="67">
                  <c:v>1997-Août</c:v>
                </c:pt>
                <c:pt idx="68">
                  <c:v>1997-Septembre</c:v>
                </c:pt>
                <c:pt idx="69">
                  <c:v>1997-Octobre</c:v>
                </c:pt>
                <c:pt idx="70">
                  <c:v>1997-Novembre</c:v>
                </c:pt>
                <c:pt idx="71">
                  <c:v>1997-Décembre</c:v>
                </c:pt>
                <c:pt idx="72">
                  <c:v>1998-Janvier</c:v>
                </c:pt>
                <c:pt idx="73">
                  <c:v>1998-février</c:v>
                </c:pt>
                <c:pt idx="74">
                  <c:v>1998-Mars</c:v>
                </c:pt>
                <c:pt idx="75">
                  <c:v>1998-Avril</c:v>
                </c:pt>
                <c:pt idx="76">
                  <c:v>1998-Mai</c:v>
                </c:pt>
                <c:pt idx="77">
                  <c:v>1998-Juin</c:v>
                </c:pt>
                <c:pt idx="78">
                  <c:v>1998-Juillet</c:v>
                </c:pt>
                <c:pt idx="79">
                  <c:v>1998-Août</c:v>
                </c:pt>
                <c:pt idx="80">
                  <c:v>1998-Septembre</c:v>
                </c:pt>
                <c:pt idx="81">
                  <c:v>1998-Octobre</c:v>
                </c:pt>
                <c:pt idx="82">
                  <c:v>1998-Novembre</c:v>
                </c:pt>
                <c:pt idx="83">
                  <c:v>1998-Décembre</c:v>
                </c:pt>
                <c:pt idx="84">
                  <c:v>1999-Janvier</c:v>
                </c:pt>
                <c:pt idx="85">
                  <c:v>1999-février</c:v>
                </c:pt>
                <c:pt idx="86">
                  <c:v>1999-Mars</c:v>
                </c:pt>
                <c:pt idx="87">
                  <c:v>1999-Avril</c:v>
                </c:pt>
                <c:pt idx="88">
                  <c:v>1999-Mai</c:v>
                </c:pt>
                <c:pt idx="89">
                  <c:v>1999-Juin</c:v>
                </c:pt>
                <c:pt idx="90">
                  <c:v>1999-Juillet</c:v>
                </c:pt>
                <c:pt idx="91">
                  <c:v>1999-Août</c:v>
                </c:pt>
                <c:pt idx="92">
                  <c:v>1999-Septembre</c:v>
                </c:pt>
                <c:pt idx="93">
                  <c:v>1999-Octobre</c:v>
                </c:pt>
                <c:pt idx="94">
                  <c:v>1999-Novembre</c:v>
                </c:pt>
                <c:pt idx="95">
                  <c:v>1999-Décembre</c:v>
                </c:pt>
                <c:pt idx="96">
                  <c:v>2000-Janvier</c:v>
                </c:pt>
                <c:pt idx="97">
                  <c:v>2000-février</c:v>
                </c:pt>
                <c:pt idx="98">
                  <c:v>2000-Mars</c:v>
                </c:pt>
                <c:pt idx="99">
                  <c:v>2000-Avril</c:v>
                </c:pt>
                <c:pt idx="100">
                  <c:v>2000-Mai</c:v>
                </c:pt>
                <c:pt idx="101">
                  <c:v>2000-Juin</c:v>
                </c:pt>
                <c:pt idx="102">
                  <c:v>2000-Juillet</c:v>
                </c:pt>
                <c:pt idx="103">
                  <c:v>2000-Août</c:v>
                </c:pt>
                <c:pt idx="104">
                  <c:v>2000-Septembre</c:v>
                </c:pt>
                <c:pt idx="105">
                  <c:v>2000-Octobre</c:v>
                </c:pt>
                <c:pt idx="106">
                  <c:v>2000-Novembre</c:v>
                </c:pt>
                <c:pt idx="107">
                  <c:v>2000-Décembre</c:v>
                </c:pt>
                <c:pt idx="108">
                  <c:v>2001-Janvier</c:v>
                </c:pt>
                <c:pt idx="109">
                  <c:v>2001-février</c:v>
                </c:pt>
                <c:pt idx="110">
                  <c:v>2001-Mars</c:v>
                </c:pt>
                <c:pt idx="111">
                  <c:v>2001-Avril</c:v>
                </c:pt>
                <c:pt idx="112">
                  <c:v>2001-Mai</c:v>
                </c:pt>
                <c:pt idx="113">
                  <c:v>2001-Juin</c:v>
                </c:pt>
                <c:pt idx="114">
                  <c:v>2001-Juillet</c:v>
                </c:pt>
                <c:pt idx="115">
                  <c:v>2001-Août</c:v>
                </c:pt>
                <c:pt idx="116">
                  <c:v>2001-Septembre</c:v>
                </c:pt>
                <c:pt idx="117">
                  <c:v>2001-Octobre</c:v>
                </c:pt>
                <c:pt idx="118">
                  <c:v>2001-Novembre</c:v>
                </c:pt>
                <c:pt idx="119">
                  <c:v>2001-Décembre</c:v>
                </c:pt>
                <c:pt idx="120">
                  <c:v>2002-Janvier</c:v>
                </c:pt>
                <c:pt idx="121">
                  <c:v>2002-février</c:v>
                </c:pt>
                <c:pt idx="122">
                  <c:v>2002-Mars</c:v>
                </c:pt>
                <c:pt idx="123">
                  <c:v>2002-Avril</c:v>
                </c:pt>
                <c:pt idx="124">
                  <c:v>2002-Mai</c:v>
                </c:pt>
                <c:pt idx="125">
                  <c:v>2002-Juin</c:v>
                </c:pt>
                <c:pt idx="126">
                  <c:v>2002-Juillet</c:v>
                </c:pt>
                <c:pt idx="127">
                  <c:v>2002-Août</c:v>
                </c:pt>
                <c:pt idx="128">
                  <c:v>2002-Septembre</c:v>
                </c:pt>
                <c:pt idx="129">
                  <c:v>2002-Octobre</c:v>
                </c:pt>
                <c:pt idx="130">
                  <c:v>2002-Novembre</c:v>
                </c:pt>
                <c:pt idx="131">
                  <c:v>2002-Décembre</c:v>
                </c:pt>
                <c:pt idx="132">
                  <c:v>2003-Janvier</c:v>
                </c:pt>
                <c:pt idx="133">
                  <c:v>2003-février</c:v>
                </c:pt>
                <c:pt idx="134">
                  <c:v>2003-Mars</c:v>
                </c:pt>
                <c:pt idx="135">
                  <c:v>2003-Avril</c:v>
                </c:pt>
                <c:pt idx="136">
                  <c:v>2003-Mai</c:v>
                </c:pt>
                <c:pt idx="137">
                  <c:v>2003-Juin</c:v>
                </c:pt>
                <c:pt idx="138">
                  <c:v>2003-Juillet</c:v>
                </c:pt>
                <c:pt idx="139">
                  <c:v>2003-Août</c:v>
                </c:pt>
                <c:pt idx="140">
                  <c:v>2003-Septembre</c:v>
                </c:pt>
                <c:pt idx="141">
                  <c:v>2003-Octobre</c:v>
                </c:pt>
                <c:pt idx="142">
                  <c:v>2003-Novembre</c:v>
                </c:pt>
                <c:pt idx="143">
                  <c:v>2003-Décembre</c:v>
                </c:pt>
                <c:pt idx="144">
                  <c:v>2004-Janvier</c:v>
                </c:pt>
                <c:pt idx="145">
                  <c:v>2004-février</c:v>
                </c:pt>
                <c:pt idx="146">
                  <c:v>2004-Mars</c:v>
                </c:pt>
                <c:pt idx="147">
                  <c:v>2004-Avril</c:v>
                </c:pt>
                <c:pt idx="148">
                  <c:v>2004-Mai</c:v>
                </c:pt>
                <c:pt idx="149">
                  <c:v>2004-Juin</c:v>
                </c:pt>
                <c:pt idx="150">
                  <c:v>2004-Juillet</c:v>
                </c:pt>
                <c:pt idx="151">
                  <c:v>2004-Août</c:v>
                </c:pt>
                <c:pt idx="152">
                  <c:v>2004-Septembre</c:v>
                </c:pt>
                <c:pt idx="153">
                  <c:v>2004-Octobre</c:v>
                </c:pt>
                <c:pt idx="154">
                  <c:v>2004-Novembre</c:v>
                </c:pt>
                <c:pt idx="155">
                  <c:v>2004-Décembre</c:v>
                </c:pt>
                <c:pt idx="156">
                  <c:v>2005-Janvier</c:v>
                </c:pt>
                <c:pt idx="157">
                  <c:v>2005-février</c:v>
                </c:pt>
                <c:pt idx="158">
                  <c:v>2005-Mars</c:v>
                </c:pt>
                <c:pt idx="159">
                  <c:v>2005-Avril</c:v>
                </c:pt>
                <c:pt idx="160">
                  <c:v>2005-Mai</c:v>
                </c:pt>
                <c:pt idx="161">
                  <c:v>2005-Juin</c:v>
                </c:pt>
                <c:pt idx="162">
                  <c:v>2005-Juillet</c:v>
                </c:pt>
                <c:pt idx="163">
                  <c:v>2005-Août</c:v>
                </c:pt>
                <c:pt idx="164">
                  <c:v>2005-Septembre</c:v>
                </c:pt>
                <c:pt idx="165">
                  <c:v>2005-Octobre</c:v>
                </c:pt>
                <c:pt idx="166">
                  <c:v>2005-Novembre</c:v>
                </c:pt>
                <c:pt idx="167">
                  <c:v>2005-Décembre</c:v>
                </c:pt>
                <c:pt idx="168">
                  <c:v>2006-Janvier</c:v>
                </c:pt>
                <c:pt idx="169">
                  <c:v>2006-février</c:v>
                </c:pt>
                <c:pt idx="170">
                  <c:v>2006-Mars</c:v>
                </c:pt>
                <c:pt idx="171">
                  <c:v>2006-Avril</c:v>
                </c:pt>
                <c:pt idx="172">
                  <c:v>2006-Mai</c:v>
                </c:pt>
                <c:pt idx="173">
                  <c:v>2006-Juin</c:v>
                </c:pt>
                <c:pt idx="174">
                  <c:v>2006-Juillet</c:v>
                </c:pt>
                <c:pt idx="175">
                  <c:v>2006-Août</c:v>
                </c:pt>
                <c:pt idx="176">
                  <c:v>2006-Septembre</c:v>
                </c:pt>
                <c:pt idx="177">
                  <c:v>2006-Octobre</c:v>
                </c:pt>
                <c:pt idx="178">
                  <c:v>2006-Novembre</c:v>
                </c:pt>
                <c:pt idx="179">
                  <c:v>2006-Décembre</c:v>
                </c:pt>
                <c:pt idx="180">
                  <c:v>2007-Janvier</c:v>
                </c:pt>
                <c:pt idx="181">
                  <c:v>2007-février</c:v>
                </c:pt>
                <c:pt idx="182">
                  <c:v>2007-Mars</c:v>
                </c:pt>
                <c:pt idx="183">
                  <c:v>2007-Avril</c:v>
                </c:pt>
                <c:pt idx="184">
                  <c:v>2007-Mai</c:v>
                </c:pt>
                <c:pt idx="185">
                  <c:v>2007-Juin</c:v>
                </c:pt>
                <c:pt idx="186">
                  <c:v>2007-Juillet</c:v>
                </c:pt>
                <c:pt idx="187">
                  <c:v>2007-Août</c:v>
                </c:pt>
                <c:pt idx="188">
                  <c:v>2007-Septembre</c:v>
                </c:pt>
                <c:pt idx="189">
                  <c:v>2007-Octobre</c:v>
                </c:pt>
                <c:pt idx="190">
                  <c:v>2007-Novembre</c:v>
                </c:pt>
                <c:pt idx="191">
                  <c:v>2007-Décembre</c:v>
                </c:pt>
                <c:pt idx="192">
                  <c:v>2008-Janvier</c:v>
                </c:pt>
                <c:pt idx="193">
                  <c:v>2008-février</c:v>
                </c:pt>
                <c:pt idx="194">
                  <c:v>2008-Mars</c:v>
                </c:pt>
                <c:pt idx="195">
                  <c:v>2008-Avril</c:v>
                </c:pt>
                <c:pt idx="196">
                  <c:v>2008-Mai</c:v>
                </c:pt>
                <c:pt idx="197">
                  <c:v>2008-Juin</c:v>
                </c:pt>
                <c:pt idx="198">
                  <c:v>2008-Juillet</c:v>
                </c:pt>
                <c:pt idx="199">
                  <c:v>2008-Août</c:v>
                </c:pt>
                <c:pt idx="200">
                  <c:v>2008-Septembre</c:v>
                </c:pt>
                <c:pt idx="201">
                  <c:v>2008-Octobre</c:v>
                </c:pt>
                <c:pt idx="202">
                  <c:v>2008-Novembre</c:v>
                </c:pt>
                <c:pt idx="203">
                  <c:v>2008-Décembre</c:v>
                </c:pt>
                <c:pt idx="204">
                  <c:v>2009-Janvier</c:v>
                </c:pt>
                <c:pt idx="205">
                  <c:v>2009-février</c:v>
                </c:pt>
                <c:pt idx="206">
                  <c:v>2009-Mars</c:v>
                </c:pt>
                <c:pt idx="207">
                  <c:v>2009-Avril</c:v>
                </c:pt>
                <c:pt idx="208">
                  <c:v>2009-Mai</c:v>
                </c:pt>
                <c:pt idx="209">
                  <c:v>2009-Juin</c:v>
                </c:pt>
                <c:pt idx="210">
                  <c:v>2009-Juillet</c:v>
                </c:pt>
                <c:pt idx="211">
                  <c:v>2009-Août</c:v>
                </c:pt>
                <c:pt idx="212">
                  <c:v>2009-Septembre</c:v>
                </c:pt>
                <c:pt idx="213">
                  <c:v>2009-Octobre</c:v>
                </c:pt>
                <c:pt idx="214">
                  <c:v>2009-Novembre</c:v>
                </c:pt>
                <c:pt idx="215">
                  <c:v>2009-Décembre</c:v>
                </c:pt>
                <c:pt idx="216">
                  <c:v>2010-Janvier</c:v>
                </c:pt>
                <c:pt idx="217">
                  <c:v>2010-février</c:v>
                </c:pt>
                <c:pt idx="218">
                  <c:v>2010-Mars</c:v>
                </c:pt>
                <c:pt idx="219">
                  <c:v>2010-Avril</c:v>
                </c:pt>
                <c:pt idx="220">
                  <c:v>2010-Mai</c:v>
                </c:pt>
                <c:pt idx="221">
                  <c:v>2010-Juin</c:v>
                </c:pt>
                <c:pt idx="222">
                  <c:v>2010-Juillet</c:v>
                </c:pt>
                <c:pt idx="223">
                  <c:v>2010-Août</c:v>
                </c:pt>
                <c:pt idx="224">
                  <c:v>2010-Septembre</c:v>
                </c:pt>
                <c:pt idx="225">
                  <c:v>2010-Octobre</c:v>
                </c:pt>
                <c:pt idx="226">
                  <c:v>2010-Novembre</c:v>
                </c:pt>
                <c:pt idx="227">
                  <c:v>2010-Décembre</c:v>
                </c:pt>
                <c:pt idx="228">
                  <c:v>2011-Janvier</c:v>
                </c:pt>
                <c:pt idx="229">
                  <c:v>2011-février</c:v>
                </c:pt>
                <c:pt idx="230">
                  <c:v>2011-Mars</c:v>
                </c:pt>
                <c:pt idx="231">
                  <c:v>2011-Avril</c:v>
                </c:pt>
                <c:pt idx="232">
                  <c:v>2011-Mai</c:v>
                </c:pt>
                <c:pt idx="233">
                  <c:v>2011-Juin</c:v>
                </c:pt>
                <c:pt idx="234">
                  <c:v>2011-Juillet</c:v>
                </c:pt>
                <c:pt idx="235">
                  <c:v>2011-Août</c:v>
                </c:pt>
                <c:pt idx="236">
                  <c:v>2011-Septembre</c:v>
                </c:pt>
                <c:pt idx="237">
                  <c:v>2011-Octobre</c:v>
                </c:pt>
                <c:pt idx="238">
                  <c:v>2011-Novembre</c:v>
                </c:pt>
                <c:pt idx="239">
                  <c:v>2011-Décembre</c:v>
                </c:pt>
                <c:pt idx="240">
                  <c:v>2012-Janvier</c:v>
                </c:pt>
                <c:pt idx="241">
                  <c:v>2012-février</c:v>
                </c:pt>
                <c:pt idx="242">
                  <c:v>2012-Mars</c:v>
                </c:pt>
                <c:pt idx="243">
                  <c:v>2012-Avril</c:v>
                </c:pt>
                <c:pt idx="244">
                  <c:v>2012-Mai</c:v>
                </c:pt>
                <c:pt idx="245">
                  <c:v>2012-Juin</c:v>
                </c:pt>
                <c:pt idx="246">
                  <c:v>2012-Juillet</c:v>
                </c:pt>
                <c:pt idx="247">
                  <c:v>2012-Août</c:v>
                </c:pt>
                <c:pt idx="248">
                  <c:v>2012-Septembre</c:v>
                </c:pt>
                <c:pt idx="249">
                  <c:v>2012-Octobre</c:v>
                </c:pt>
                <c:pt idx="250">
                  <c:v>2012-Novembre</c:v>
                </c:pt>
                <c:pt idx="251">
                  <c:v>2012-Décembre</c:v>
                </c:pt>
                <c:pt idx="252">
                  <c:v>2013-Janvier</c:v>
                </c:pt>
                <c:pt idx="253">
                  <c:v>2013-février</c:v>
                </c:pt>
                <c:pt idx="254">
                  <c:v>2013-Mars</c:v>
                </c:pt>
                <c:pt idx="255">
                  <c:v>2013-Avril</c:v>
                </c:pt>
                <c:pt idx="256">
                  <c:v>2013-Mai</c:v>
                </c:pt>
                <c:pt idx="257">
                  <c:v>2013-Juin</c:v>
                </c:pt>
                <c:pt idx="258">
                  <c:v>2013-Juillet</c:v>
                </c:pt>
                <c:pt idx="259">
                  <c:v>2013-Août</c:v>
                </c:pt>
                <c:pt idx="260">
                  <c:v>2013-Septembre</c:v>
                </c:pt>
                <c:pt idx="261">
                  <c:v>2013-Octobre</c:v>
                </c:pt>
                <c:pt idx="262">
                  <c:v>2013-Novembre</c:v>
                </c:pt>
                <c:pt idx="263">
                  <c:v>2013-Décembre</c:v>
                </c:pt>
                <c:pt idx="264">
                  <c:v>2014-Janvier</c:v>
                </c:pt>
                <c:pt idx="265">
                  <c:v>2014-février</c:v>
                </c:pt>
                <c:pt idx="266">
                  <c:v>2014-Mars</c:v>
                </c:pt>
                <c:pt idx="267">
                  <c:v>2014-Avril</c:v>
                </c:pt>
                <c:pt idx="268">
                  <c:v>2014-Mai</c:v>
                </c:pt>
                <c:pt idx="269">
                  <c:v>2014-Juin</c:v>
                </c:pt>
                <c:pt idx="270">
                  <c:v>2014-Juillet</c:v>
                </c:pt>
                <c:pt idx="271">
                  <c:v>2014-Août</c:v>
                </c:pt>
                <c:pt idx="272">
                  <c:v>2014-Septembre</c:v>
                </c:pt>
                <c:pt idx="273">
                  <c:v>2014-Octobre</c:v>
                </c:pt>
                <c:pt idx="274">
                  <c:v>2014-Novembre</c:v>
                </c:pt>
                <c:pt idx="275">
                  <c:v>2014-Décembre</c:v>
                </c:pt>
                <c:pt idx="276">
                  <c:v>2015-Janvier</c:v>
                </c:pt>
                <c:pt idx="277">
                  <c:v>2015-février</c:v>
                </c:pt>
                <c:pt idx="278">
                  <c:v>2015-Mars</c:v>
                </c:pt>
                <c:pt idx="279">
                  <c:v>2015-Avril</c:v>
                </c:pt>
                <c:pt idx="280">
                  <c:v>2015-Mai</c:v>
                </c:pt>
                <c:pt idx="281">
                  <c:v>2015-Juin</c:v>
                </c:pt>
                <c:pt idx="282">
                  <c:v>2015-Juillet</c:v>
                </c:pt>
                <c:pt idx="283">
                  <c:v>2015-Août</c:v>
                </c:pt>
                <c:pt idx="284">
                  <c:v>2015-Septembre</c:v>
                </c:pt>
                <c:pt idx="285">
                  <c:v>2015-Octobre</c:v>
                </c:pt>
                <c:pt idx="286">
                  <c:v>2015-Novembre</c:v>
                </c:pt>
                <c:pt idx="287">
                  <c:v>2015-Décembre</c:v>
                </c:pt>
                <c:pt idx="288">
                  <c:v>2016-Janvier</c:v>
                </c:pt>
                <c:pt idx="289">
                  <c:v>2016-février</c:v>
                </c:pt>
                <c:pt idx="290">
                  <c:v>2016-Mars</c:v>
                </c:pt>
                <c:pt idx="291">
                  <c:v>2016-Avril</c:v>
                </c:pt>
                <c:pt idx="292">
                  <c:v>2016-Mai</c:v>
                </c:pt>
                <c:pt idx="293">
                  <c:v>2016-Juin</c:v>
                </c:pt>
                <c:pt idx="294">
                  <c:v>2016-Juillet</c:v>
                </c:pt>
                <c:pt idx="295">
                  <c:v>2016-Août</c:v>
                </c:pt>
                <c:pt idx="296">
                  <c:v>2016-Septembre</c:v>
                </c:pt>
                <c:pt idx="297">
                  <c:v>2016-Octobre</c:v>
                </c:pt>
                <c:pt idx="298">
                  <c:v>2016-Novembre</c:v>
                </c:pt>
                <c:pt idx="299">
                  <c:v>2016-Décembre</c:v>
                </c:pt>
                <c:pt idx="300">
                  <c:v>2017-Janvier</c:v>
                </c:pt>
                <c:pt idx="301">
                  <c:v>2017-février</c:v>
                </c:pt>
                <c:pt idx="302">
                  <c:v>2017-Mars</c:v>
                </c:pt>
                <c:pt idx="303">
                  <c:v>2017-Avril</c:v>
                </c:pt>
                <c:pt idx="304">
                  <c:v>2017-Mai</c:v>
                </c:pt>
                <c:pt idx="305">
                  <c:v>2017-Juin</c:v>
                </c:pt>
                <c:pt idx="306">
                  <c:v>2017-Juillet</c:v>
                </c:pt>
                <c:pt idx="307">
                  <c:v>2017-Août</c:v>
                </c:pt>
                <c:pt idx="308">
                  <c:v>2017-Septembre</c:v>
                </c:pt>
                <c:pt idx="309">
                  <c:v>2017-Octobre</c:v>
                </c:pt>
                <c:pt idx="310">
                  <c:v>2017-Novembre</c:v>
                </c:pt>
                <c:pt idx="311">
                  <c:v>2017-Décembre</c:v>
                </c:pt>
                <c:pt idx="312">
                  <c:v>2018-Janvier</c:v>
                </c:pt>
                <c:pt idx="313">
                  <c:v>2018-février</c:v>
                </c:pt>
                <c:pt idx="314">
                  <c:v>2018-Mars</c:v>
                </c:pt>
                <c:pt idx="315">
                  <c:v>2018-Avril</c:v>
                </c:pt>
                <c:pt idx="316">
                  <c:v>2018-Mai</c:v>
                </c:pt>
                <c:pt idx="317">
                  <c:v>2018-Juin</c:v>
                </c:pt>
                <c:pt idx="318">
                  <c:v>2018-Juillet</c:v>
                </c:pt>
                <c:pt idx="319">
                  <c:v>2018-Août</c:v>
                </c:pt>
                <c:pt idx="320">
                  <c:v>2018-Septembre</c:v>
                </c:pt>
                <c:pt idx="321">
                  <c:v>2018-Octobre</c:v>
                </c:pt>
                <c:pt idx="322">
                  <c:v>2018-Novembre</c:v>
                </c:pt>
                <c:pt idx="323">
                  <c:v>2018-Décembre</c:v>
                </c:pt>
                <c:pt idx="324">
                  <c:v>2019-Janvier</c:v>
                </c:pt>
                <c:pt idx="325">
                  <c:v>2019-février</c:v>
                </c:pt>
                <c:pt idx="326">
                  <c:v>2019-Mars</c:v>
                </c:pt>
                <c:pt idx="327">
                  <c:v>2019-Avril</c:v>
                </c:pt>
                <c:pt idx="328">
                  <c:v>2019-Mai</c:v>
                </c:pt>
                <c:pt idx="329">
                  <c:v>2019-Juin</c:v>
                </c:pt>
                <c:pt idx="330">
                  <c:v>2019-Juillet</c:v>
                </c:pt>
                <c:pt idx="331">
                  <c:v>2019-Août</c:v>
                </c:pt>
                <c:pt idx="332">
                  <c:v>2019-Septembre</c:v>
                </c:pt>
                <c:pt idx="333">
                  <c:v>2019-Octobre</c:v>
                </c:pt>
                <c:pt idx="334">
                  <c:v>2019-Novembre</c:v>
                </c:pt>
                <c:pt idx="335">
                  <c:v>2019-Décembre</c:v>
                </c:pt>
                <c:pt idx="336">
                  <c:v>2020-Janvier</c:v>
                </c:pt>
                <c:pt idx="337">
                  <c:v>2020-février</c:v>
                </c:pt>
                <c:pt idx="338">
                  <c:v>2020-Mars</c:v>
                </c:pt>
                <c:pt idx="339">
                  <c:v>2020-Avril</c:v>
                </c:pt>
                <c:pt idx="340">
                  <c:v>2020-Mai</c:v>
                </c:pt>
                <c:pt idx="341">
                  <c:v>2020-Juin</c:v>
                </c:pt>
                <c:pt idx="342">
                  <c:v>2020-Juillet</c:v>
                </c:pt>
                <c:pt idx="343">
                  <c:v>2020-Août</c:v>
                </c:pt>
                <c:pt idx="344">
                  <c:v>2020-Septembre</c:v>
                </c:pt>
                <c:pt idx="345">
                  <c:v>2020-Octobre</c:v>
                </c:pt>
                <c:pt idx="346">
                  <c:v>2020-Novembre</c:v>
                </c:pt>
                <c:pt idx="347">
                  <c:v>2020-Décembre</c:v>
                </c:pt>
                <c:pt idx="348">
                  <c:v>2021-Janvier</c:v>
                </c:pt>
                <c:pt idx="349">
                  <c:v>2021-février</c:v>
                </c:pt>
                <c:pt idx="350">
                  <c:v>2021-Mars</c:v>
                </c:pt>
                <c:pt idx="351">
                  <c:v>2021-Avril</c:v>
                </c:pt>
                <c:pt idx="352">
                  <c:v>2021-Mai</c:v>
                </c:pt>
                <c:pt idx="353">
                  <c:v>2021-Juin</c:v>
                </c:pt>
                <c:pt idx="354">
                  <c:v>2021-Juillet</c:v>
                </c:pt>
                <c:pt idx="355">
                  <c:v>2021-Août</c:v>
                </c:pt>
                <c:pt idx="356">
                  <c:v>2021-Septembre</c:v>
                </c:pt>
                <c:pt idx="357">
                  <c:v>2021-Octobre</c:v>
                </c:pt>
                <c:pt idx="358">
                  <c:v>2021-Novembre</c:v>
                </c:pt>
                <c:pt idx="359">
                  <c:v>2021-Décembre</c:v>
                </c:pt>
                <c:pt idx="360">
                  <c:v>2022-Janvier</c:v>
                </c:pt>
                <c:pt idx="361">
                  <c:v>2022-février</c:v>
                </c:pt>
                <c:pt idx="362">
                  <c:v>2022-Mars</c:v>
                </c:pt>
                <c:pt idx="363">
                  <c:v>2022-Avril</c:v>
                </c:pt>
                <c:pt idx="364">
                  <c:v>2022-Mai</c:v>
                </c:pt>
                <c:pt idx="365">
                  <c:v>2022-Juin</c:v>
                </c:pt>
                <c:pt idx="366">
                  <c:v>2022-Juillet</c:v>
                </c:pt>
                <c:pt idx="367">
                  <c:v>2022-Août</c:v>
                </c:pt>
                <c:pt idx="368">
                  <c:v>2022-Septembre</c:v>
                </c:pt>
                <c:pt idx="369">
                  <c:v>2022-Octobre</c:v>
                </c:pt>
                <c:pt idx="370">
                  <c:v>2022-Novembre</c:v>
                </c:pt>
                <c:pt idx="371">
                  <c:v>2022-Décembre</c:v>
                </c:pt>
                <c:pt idx="372">
                  <c:v>2023-Janvier</c:v>
                </c:pt>
                <c:pt idx="373">
                  <c:v>2023-février</c:v>
                </c:pt>
                <c:pt idx="374">
                  <c:v>2023-Mars</c:v>
                </c:pt>
                <c:pt idx="375">
                  <c:v>2023-Avril</c:v>
                </c:pt>
                <c:pt idx="376">
                  <c:v>2023-Mai</c:v>
                </c:pt>
                <c:pt idx="377">
                  <c:v>2023-Juin</c:v>
                </c:pt>
                <c:pt idx="378">
                  <c:v>2023-Juillet</c:v>
                </c:pt>
                <c:pt idx="379">
                  <c:v>2023-Août</c:v>
                </c:pt>
                <c:pt idx="380">
                  <c:v>2023-Septembre</c:v>
                </c:pt>
                <c:pt idx="381">
                  <c:v>2023-Octobre</c:v>
                </c:pt>
                <c:pt idx="382">
                  <c:v>2023-Novembre</c:v>
                </c:pt>
                <c:pt idx="383">
                  <c:v>2023-Décembre</c:v>
                </c:pt>
                <c:pt idx="384">
                  <c:v>2024-Janvier</c:v>
                </c:pt>
                <c:pt idx="385">
                  <c:v>2024-février</c:v>
                </c:pt>
                <c:pt idx="386">
                  <c:v>2024-Mars</c:v>
                </c:pt>
                <c:pt idx="387">
                  <c:v>2024-Avril</c:v>
                </c:pt>
                <c:pt idx="388">
                  <c:v>2024-Mai</c:v>
                </c:pt>
                <c:pt idx="389">
                  <c:v>2024-Juin</c:v>
                </c:pt>
                <c:pt idx="390">
                  <c:v>2024-Juillet</c:v>
                </c:pt>
                <c:pt idx="391">
                  <c:v>2024-Août</c:v>
                </c:pt>
                <c:pt idx="392">
                  <c:v>2024-Septembre</c:v>
                </c:pt>
                <c:pt idx="393">
                  <c:v>2024-Octobre</c:v>
                </c:pt>
                <c:pt idx="394">
                  <c:v>2024-Novembre</c:v>
                </c:pt>
                <c:pt idx="395">
                  <c:v>2024-Décembre</c:v>
                </c:pt>
                <c:pt idx="396">
                  <c:v>2025-Janvier</c:v>
                </c:pt>
                <c:pt idx="397">
                  <c:v>2025-février</c:v>
                </c:pt>
                <c:pt idx="398">
                  <c:v>2025-Mars</c:v>
                </c:pt>
                <c:pt idx="399">
                  <c:v>2025-Avril</c:v>
                </c:pt>
                <c:pt idx="400">
                  <c:v>2025-Mai</c:v>
                </c:pt>
                <c:pt idx="401">
                  <c:v>2025-Juin</c:v>
                </c:pt>
                <c:pt idx="402">
                  <c:v>2025-Juillet</c:v>
                </c:pt>
                <c:pt idx="403">
                  <c:v>2025-Août</c:v>
                </c:pt>
                <c:pt idx="404">
                  <c:v>2025-Septembre</c:v>
                </c:pt>
                <c:pt idx="405">
                  <c:v>2025-Octobre</c:v>
                </c:pt>
              </c:strCache>
            </c:strRef>
          </c:cat>
          <c:val>
            <c:numRef>
              <c:f>'dataset_2025-11-17T12_56_18.236'!$D$2:$D$415</c:f>
              <c:numCache>
                <c:formatCode>General</c:formatCode>
                <c:ptCount val="414"/>
                <c:pt idx="0">
                  <c:v>1181.22729492188</c:v>
                </c:pt>
                <c:pt idx="1">
                  <c:v>1270.75</c:v>
                </c:pt>
                <c:pt idx="2">
                  <c:v>1282.02270507813</c:v>
                </c:pt>
                <c:pt idx="3">
                  <c:v>1317.125</c:v>
                </c:pt>
                <c:pt idx="4">
                  <c:v>1306.71069335938</c:v>
                </c:pt>
                <c:pt idx="5">
                  <c:v>1275.27270507813</c:v>
                </c:pt>
                <c:pt idx="6">
                  <c:v>1314.34790039063</c:v>
                </c:pt>
                <c:pt idx="7">
                  <c:v>1305.55004882813</c:v>
                </c:pt>
                <c:pt idx="8">
                  <c:v>1270.21435546875</c:v>
                </c:pt>
                <c:pt idx="9">
                  <c:v>1180.84106445313</c:v>
                </c:pt>
                <c:pt idx="10">
                  <c:v>1162.21435546875</c:v>
                </c:pt>
                <c:pt idx="11">
                  <c:v>1209.02380371094</c:v>
                </c:pt>
                <c:pt idx="12">
                  <c:v>1208.09997558594</c:v>
                </c:pt>
                <c:pt idx="13">
                  <c:v>1203.15002441406</c:v>
                </c:pt>
                <c:pt idx="14">
                  <c:v>1150.47827148438</c:v>
                </c:pt>
                <c:pt idx="15">
                  <c:v>1110.27502441406</c:v>
                </c:pt>
                <c:pt idx="16">
                  <c:v>1125.42102050781</c:v>
                </c:pt>
                <c:pt idx="17">
                  <c:v>1168.09094238281</c:v>
                </c:pt>
                <c:pt idx="18">
                  <c:v>1203.18176269531</c:v>
                </c:pt>
                <c:pt idx="19">
                  <c:v>1172.76196289063</c:v>
                </c:pt>
                <c:pt idx="20">
                  <c:v>1116.90905761719</c:v>
                </c:pt>
                <c:pt idx="21">
                  <c:v>1089.42858886719</c:v>
                </c:pt>
                <c:pt idx="22">
                  <c:v>1040.02270507813</c:v>
                </c:pt>
                <c:pt idx="23">
                  <c:v>1091.34997558594</c:v>
                </c:pt>
                <c:pt idx="24">
                  <c:v>1170</c:v>
                </c:pt>
                <c:pt idx="25">
                  <c:v>1270.52502441406</c:v>
                </c:pt>
                <c:pt idx="26">
                  <c:v>1287.69567871094</c:v>
                </c:pt>
                <c:pt idx="27">
                  <c:v>1277.28942871094</c:v>
                </c:pt>
                <c:pt idx="28">
                  <c:v>1321.04760742188</c:v>
                </c:pt>
                <c:pt idx="29">
                  <c:v>1402.36364746094</c:v>
                </c:pt>
                <c:pt idx="30">
                  <c:v>1491.95239257813</c:v>
                </c:pt>
                <c:pt idx="31">
                  <c:v>1457.06823730469</c:v>
                </c:pt>
                <c:pt idx="32">
                  <c:v>1571.09094238281</c:v>
                </c:pt>
                <c:pt idx="33">
                  <c:v>1694.26196289063</c:v>
                </c:pt>
                <c:pt idx="34">
                  <c:v>1885.88635253906</c:v>
                </c:pt>
                <c:pt idx="35">
                  <c:v>1878.375</c:v>
                </c:pt>
                <c:pt idx="36">
                  <c:v>2059.35717773438</c:v>
                </c:pt>
                <c:pt idx="37">
                  <c:v>1905.44995117188</c:v>
                </c:pt>
                <c:pt idx="38">
                  <c:v>1799.97827148438</c:v>
                </c:pt>
                <c:pt idx="39">
                  <c:v>1849.44445800781</c:v>
                </c:pt>
                <c:pt idx="40">
                  <c:v>1765.47619628906</c:v>
                </c:pt>
                <c:pt idx="41">
                  <c:v>1775.79541015625</c:v>
                </c:pt>
                <c:pt idx="42">
                  <c:v>1867.27502441406</c:v>
                </c:pt>
                <c:pt idx="43">
                  <c:v>1890.04541015625</c:v>
                </c:pt>
                <c:pt idx="44">
                  <c:v>1761.72497558594</c:v>
                </c:pt>
                <c:pt idx="45">
                  <c:v>1671.95458984375</c:v>
                </c:pt>
                <c:pt idx="46">
                  <c:v>1655.92858886719</c:v>
                </c:pt>
                <c:pt idx="47">
                  <c:v>1657.81579589844</c:v>
                </c:pt>
                <c:pt idx="48">
                  <c:v>1584.47619628906</c:v>
                </c:pt>
                <c:pt idx="49">
                  <c:v>1594.57141113281</c:v>
                </c:pt>
                <c:pt idx="50">
                  <c:v>1614.85717773438</c:v>
                </c:pt>
                <c:pt idx="51">
                  <c:v>1587.40002441406</c:v>
                </c:pt>
                <c:pt idx="52">
                  <c:v>1593.85717773438</c:v>
                </c:pt>
                <c:pt idx="53">
                  <c:v>1485.75</c:v>
                </c:pt>
                <c:pt idx="54">
                  <c:v>1460.02172851563</c:v>
                </c:pt>
                <c:pt idx="55">
                  <c:v>1466.78576660156</c:v>
                </c:pt>
                <c:pt idx="56">
                  <c:v>1405.76196289063</c:v>
                </c:pt>
                <c:pt idx="57">
                  <c:v>1336.02172851563</c:v>
                </c:pt>
                <c:pt idx="58">
                  <c:v>1451.04760742188</c:v>
                </c:pt>
                <c:pt idx="59">
                  <c:v>1500.97619628906</c:v>
                </c:pt>
                <c:pt idx="60">
                  <c:v>1575.13635253906</c:v>
                </c:pt>
                <c:pt idx="61">
                  <c:v>1582.05297851563</c:v>
                </c:pt>
                <c:pt idx="62">
                  <c:v>1631.18420410156</c:v>
                </c:pt>
                <c:pt idx="63">
                  <c:v>1561.11364746094</c:v>
                </c:pt>
                <c:pt idx="64">
                  <c:v>1625.44995117188</c:v>
                </c:pt>
                <c:pt idx="65">
                  <c:v>1567.1904296875</c:v>
                </c:pt>
                <c:pt idx="66">
                  <c:v>1591.5869140625</c:v>
                </c:pt>
                <c:pt idx="67">
                  <c:v>1710.02502441406</c:v>
                </c:pt>
                <c:pt idx="68">
                  <c:v>1611.61901855469</c:v>
                </c:pt>
                <c:pt idx="69">
                  <c:v>1607.32604980469</c:v>
                </c:pt>
                <c:pt idx="70">
                  <c:v>1598.32495117188</c:v>
                </c:pt>
                <c:pt idx="71">
                  <c:v>1530.52380371094</c:v>
                </c:pt>
                <c:pt idx="72">
                  <c:v>1485.47497558594</c:v>
                </c:pt>
                <c:pt idx="73">
                  <c:v>1465.17504882813</c:v>
                </c:pt>
                <c:pt idx="74">
                  <c:v>1438.31823730469</c:v>
                </c:pt>
                <c:pt idx="75">
                  <c:v>1417.55004882813</c:v>
                </c:pt>
                <c:pt idx="76">
                  <c:v>1364.31579589844</c:v>
                </c:pt>
                <c:pt idx="77">
                  <c:v>1305.52380371094</c:v>
                </c:pt>
                <c:pt idx="78">
                  <c:v>1312.66662597656</c:v>
                </c:pt>
                <c:pt idx="79">
                  <c:v>1310.55004882813</c:v>
                </c:pt>
                <c:pt idx="80">
                  <c:v>1341.88635253906</c:v>
                </c:pt>
                <c:pt idx="81">
                  <c:v>1303.70458984375</c:v>
                </c:pt>
                <c:pt idx="82">
                  <c:v>1295.30004882813</c:v>
                </c:pt>
                <c:pt idx="83">
                  <c:v>1250.39477539063</c:v>
                </c:pt>
                <c:pt idx="84">
                  <c:v>1219.40002441406</c:v>
                </c:pt>
                <c:pt idx="85">
                  <c:v>1186.4749999999999</c:v>
                </c:pt>
                <c:pt idx="86">
                  <c:v>1179.8636363636399</c:v>
                </c:pt>
                <c:pt idx="87">
                  <c:v>1277.8499999999999</c:v>
                </c:pt>
                <c:pt idx="88">
                  <c:v>1323.1315789473699</c:v>
                </c:pt>
                <c:pt idx="89">
                  <c:v>1315.52272727273</c:v>
                </c:pt>
                <c:pt idx="90">
                  <c:v>1403.3636363636399</c:v>
                </c:pt>
                <c:pt idx="91">
                  <c:v>1421.69047619048</c:v>
                </c:pt>
                <c:pt idx="92">
                  <c:v>1492.0681818181799</c:v>
                </c:pt>
                <c:pt idx="93">
                  <c:v>1473.3333333333301</c:v>
                </c:pt>
                <c:pt idx="94">
                  <c:v>1472.4318181818201</c:v>
                </c:pt>
                <c:pt idx="95">
                  <c:v>1554.73529411765</c:v>
                </c:pt>
                <c:pt idx="96">
                  <c:v>1679.85</c:v>
                </c:pt>
                <c:pt idx="97">
                  <c:v>1679.425</c:v>
                </c:pt>
                <c:pt idx="98">
                  <c:v>1579.64</c:v>
                </c:pt>
                <c:pt idx="99">
                  <c:v>1458.7449999999999</c:v>
                </c:pt>
                <c:pt idx="100">
                  <c:v>1468.0652173912999</c:v>
                </c:pt>
                <c:pt idx="101">
                  <c:v>1509.3727272727299</c:v>
                </c:pt>
                <c:pt idx="102">
                  <c:v>1564.37619047619</c:v>
                </c:pt>
                <c:pt idx="103">
                  <c:v>1530.3347826086999</c:v>
                </c:pt>
                <c:pt idx="104">
                  <c:v>1602.30952380952</c:v>
                </c:pt>
                <c:pt idx="105">
                  <c:v>1501.24545454545</c:v>
                </c:pt>
                <c:pt idx="106">
                  <c:v>1475.55454545455</c:v>
                </c:pt>
                <c:pt idx="107">
                  <c:v>1569.0550000000001</c:v>
                </c:pt>
                <c:pt idx="108">
                  <c:v>1619.8772727272701</c:v>
                </c:pt>
                <c:pt idx="109">
                  <c:v>1607.03</c:v>
                </c:pt>
                <c:pt idx="110">
                  <c:v>1512.1727272727301</c:v>
                </c:pt>
                <c:pt idx="111">
                  <c:v>1499.4833333333299</c:v>
                </c:pt>
                <c:pt idx="112">
                  <c:v>1542.3904761904801</c:v>
                </c:pt>
                <c:pt idx="113">
                  <c:v>1470.8333333333301</c:v>
                </c:pt>
                <c:pt idx="114">
                  <c:v>1418.6227272727299</c:v>
                </c:pt>
                <c:pt idx="115">
                  <c:v>1377.8454545454499</c:v>
                </c:pt>
                <c:pt idx="116">
                  <c:v>1345.9949999999999</c:v>
                </c:pt>
                <c:pt idx="117">
                  <c:v>1283.53043478261</c:v>
                </c:pt>
                <c:pt idx="118">
                  <c:v>1334.45454545455</c:v>
                </c:pt>
                <c:pt idx="119">
                  <c:v>1348.72352941176</c:v>
                </c:pt>
                <c:pt idx="120">
                  <c:v>1371.3636363636399</c:v>
                </c:pt>
                <c:pt idx="121">
                  <c:v>1371.08</c:v>
                </c:pt>
                <c:pt idx="122">
                  <c:v>1404.9849999999999</c:v>
                </c:pt>
                <c:pt idx="123">
                  <c:v>1370.38571428571</c:v>
                </c:pt>
                <c:pt idx="124">
                  <c:v>1344.4272727272701</c:v>
                </c:pt>
                <c:pt idx="125">
                  <c:v>1356.93333333333</c:v>
                </c:pt>
                <c:pt idx="126">
                  <c:v>1337.8652173912999</c:v>
                </c:pt>
                <c:pt idx="127">
                  <c:v>1293.3571428571399</c:v>
                </c:pt>
                <c:pt idx="128">
                  <c:v>1301.7</c:v>
                </c:pt>
                <c:pt idx="129">
                  <c:v>1311.46086956522</c:v>
                </c:pt>
                <c:pt idx="130">
                  <c:v>1373.2666666666701</c:v>
                </c:pt>
                <c:pt idx="131">
                  <c:v>1375.8619047619</c:v>
                </c:pt>
                <c:pt idx="132">
                  <c:v>1379.26818181818</c:v>
                </c:pt>
                <c:pt idx="133">
                  <c:v>1421.5350000000001</c:v>
                </c:pt>
                <c:pt idx="134">
                  <c:v>1386.5238095238101</c:v>
                </c:pt>
                <c:pt idx="135">
                  <c:v>1334.29</c:v>
                </c:pt>
                <c:pt idx="136">
                  <c:v>1400.3975</c:v>
                </c:pt>
                <c:pt idx="137">
                  <c:v>1410.5166666666701</c:v>
                </c:pt>
                <c:pt idx="138">
                  <c:v>1440.8804347826101</c:v>
                </c:pt>
                <c:pt idx="139">
                  <c:v>1457.2249999999999</c:v>
                </c:pt>
                <c:pt idx="140">
                  <c:v>1416.5772727272699</c:v>
                </c:pt>
                <c:pt idx="141">
                  <c:v>1477.22391304348</c:v>
                </c:pt>
                <c:pt idx="142">
                  <c:v>1511.585</c:v>
                </c:pt>
                <c:pt idx="143">
                  <c:v>1557.7785714285701</c:v>
                </c:pt>
                <c:pt idx="144">
                  <c:v>1608.8928571428601</c:v>
                </c:pt>
                <c:pt idx="145">
                  <c:v>1685.2249999999999</c:v>
                </c:pt>
                <c:pt idx="146">
                  <c:v>1657.3543478260899</c:v>
                </c:pt>
                <c:pt idx="147">
                  <c:v>1731.68</c:v>
                </c:pt>
                <c:pt idx="148">
                  <c:v>1625.25</c:v>
                </c:pt>
                <c:pt idx="149">
                  <c:v>1682.0295454545501</c:v>
                </c:pt>
                <c:pt idx="150">
                  <c:v>1707.8409090909099</c:v>
                </c:pt>
                <c:pt idx="151">
                  <c:v>1692.07142857143</c:v>
                </c:pt>
                <c:pt idx="152">
                  <c:v>1731</c:v>
                </c:pt>
                <c:pt idx="153">
                  <c:v>1830.3571428571399</c:v>
                </c:pt>
                <c:pt idx="154">
                  <c:v>1817.3409090909099</c:v>
                </c:pt>
                <c:pt idx="155">
                  <c:v>1852.9095238095199</c:v>
                </c:pt>
                <c:pt idx="156">
                  <c:v>1836.175</c:v>
                </c:pt>
                <c:pt idx="157">
                  <c:v>1882.7750000000001</c:v>
                </c:pt>
                <c:pt idx="158">
                  <c:v>1987.5</c:v>
                </c:pt>
                <c:pt idx="159">
                  <c:v>1891.9880952381</c:v>
                </c:pt>
                <c:pt idx="160">
                  <c:v>1741.45</c:v>
                </c:pt>
                <c:pt idx="161">
                  <c:v>1731.9431818181799</c:v>
                </c:pt>
                <c:pt idx="162">
                  <c:v>1783.2619047619</c:v>
                </c:pt>
                <c:pt idx="163">
                  <c:v>1871.27272727273</c:v>
                </c:pt>
                <c:pt idx="164">
                  <c:v>1837.6931818181799</c:v>
                </c:pt>
                <c:pt idx="165">
                  <c:v>1934.1428571428601</c:v>
                </c:pt>
                <c:pt idx="166">
                  <c:v>2056.9704545454501</c:v>
                </c:pt>
                <c:pt idx="167">
                  <c:v>2250.9</c:v>
                </c:pt>
                <c:pt idx="168">
                  <c:v>2383.3023809523802</c:v>
                </c:pt>
                <c:pt idx="169">
                  <c:v>2453.375</c:v>
                </c:pt>
                <c:pt idx="170">
                  <c:v>2432.47826086957</c:v>
                </c:pt>
                <c:pt idx="171">
                  <c:v>2623.8583333333299</c:v>
                </c:pt>
                <c:pt idx="172">
                  <c:v>2852.0714285714298</c:v>
                </c:pt>
                <c:pt idx="173">
                  <c:v>2490.95454545455</c:v>
                </c:pt>
                <c:pt idx="174">
                  <c:v>2511.8333333333298</c:v>
                </c:pt>
                <c:pt idx="175">
                  <c:v>2461.5522727272701</c:v>
                </c:pt>
                <c:pt idx="176">
                  <c:v>2484.38095238095</c:v>
                </c:pt>
                <c:pt idx="177">
                  <c:v>2657.1477272727302</c:v>
                </c:pt>
                <c:pt idx="178">
                  <c:v>2702.1363636363599</c:v>
                </c:pt>
                <c:pt idx="179">
                  <c:v>2823.6710526315801</c:v>
                </c:pt>
                <c:pt idx="180">
                  <c:v>2799.0590909090902</c:v>
                </c:pt>
                <c:pt idx="181">
                  <c:v>2839.05</c:v>
                </c:pt>
                <c:pt idx="182">
                  <c:v>2757.07954545455</c:v>
                </c:pt>
                <c:pt idx="183">
                  <c:v>2817.0526315789498</c:v>
                </c:pt>
                <c:pt idx="184">
                  <c:v>2804.6047619047599</c:v>
                </c:pt>
                <c:pt idx="185">
                  <c:v>2681.3095238095202</c:v>
                </c:pt>
                <c:pt idx="186">
                  <c:v>2738.0909090909099</c:v>
                </c:pt>
                <c:pt idx="187">
                  <c:v>2512.6022727272698</c:v>
                </c:pt>
                <c:pt idx="188">
                  <c:v>2394.9625000000001</c:v>
                </c:pt>
                <c:pt idx="189">
                  <c:v>2444.5326086956502</c:v>
                </c:pt>
                <c:pt idx="190">
                  <c:v>2507.15227272727</c:v>
                </c:pt>
                <c:pt idx="191">
                  <c:v>2382.8333333333298</c:v>
                </c:pt>
                <c:pt idx="192">
                  <c:v>2456.125</c:v>
                </c:pt>
                <c:pt idx="193">
                  <c:v>2784.8928571428601</c:v>
                </c:pt>
                <c:pt idx="194">
                  <c:v>3012.0526315789498</c:v>
                </c:pt>
                <c:pt idx="195">
                  <c:v>2968.0340909090901</c:v>
                </c:pt>
                <c:pt idx="196">
                  <c:v>2908.2775000000001</c:v>
                </c:pt>
                <c:pt idx="197">
                  <c:v>2967.86904761905</c:v>
                </c:pt>
                <c:pt idx="198">
                  <c:v>3067.45652173913</c:v>
                </c:pt>
                <c:pt idx="199">
                  <c:v>2762.56</c:v>
                </c:pt>
                <c:pt idx="200">
                  <c:v>2524.1477272727302</c:v>
                </c:pt>
                <c:pt idx="201">
                  <c:v>2122.0282608695702</c:v>
                </c:pt>
                <c:pt idx="202">
                  <c:v>1857.13</c:v>
                </c:pt>
                <c:pt idx="203">
                  <c:v>1504.4166666666699</c:v>
                </c:pt>
                <c:pt idx="204">
                  <c:v>1420.3595238095199</c:v>
                </c:pt>
                <c:pt idx="205">
                  <c:v>1338.0625</c:v>
                </c:pt>
                <c:pt idx="206">
                  <c:v>1338.07954545455</c:v>
                </c:pt>
                <c:pt idx="207">
                  <c:v>1431.8125</c:v>
                </c:pt>
                <c:pt idx="208">
                  <c:v>1466.6710526315801</c:v>
                </c:pt>
                <c:pt idx="209">
                  <c:v>1579.6272727272701</c:v>
                </c:pt>
                <c:pt idx="210">
                  <c:v>1670.5565217391299</c:v>
                </c:pt>
                <c:pt idx="211">
                  <c:v>1927.6375</c:v>
                </c:pt>
                <c:pt idx="212">
                  <c:v>1835.59772727273</c:v>
                </c:pt>
                <c:pt idx="213">
                  <c:v>1875.6636363636401</c:v>
                </c:pt>
                <c:pt idx="214">
                  <c:v>1956.5476190476199</c:v>
                </c:pt>
                <c:pt idx="215">
                  <c:v>2181.25714285714</c:v>
                </c:pt>
                <c:pt idx="216">
                  <c:v>2230.1125000000002</c:v>
                </c:pt>
                <c:pt idx="217">
                  <c:v>2053.27</c:v>
                </c:pt>
                <c:pt idx="218">
                  <c:v>2210.53043478261</c:v>
                </c:pt>
                <c:pt idx="219">
                  <c:v>2314.2775000000001</c:v>
                </c:pt>
                <c:pt idx="220">
                  <c:v>2044.71052631579</c:v>
                </c:pt>
                <c:pt idx="221">
                  <c:v>1929.4090909090901</c:v>
                </c:pt>
                <c:pt idx="222">
                  <c:v>1989.04545454545</c:v>
                </c:pt>
                <c:pt idx="223">
                  <c:v>2110.4404761904798</c:v>
                </c:pt>
                <c:pt idx="224">
                  <c:v>2171.2431818181799</c:v>
                </c:pt>
                <c:pt idx="225">
                  <c:v>2342.1785714285702</c:v>
                </c:pt>
                <c:pt idx="226">
                  <c:v>2324.04545454545</c:v>
                </c:pt>
                <c:pt idx="227">
                  <c:v>2356.6690476190502</c:v>
                </c:pt>
                <c:pt idx="228">
                  <c:v>2439.6999999999998</c:v>
                </c:pt>
                <c:pt idx="229">
                  <c:v>2515.2600000000002</c:v>
                </c:pt>
                <c:pt idx="230">
                  <c:v>2555.5</c:v>
                </c:pt>
                <c:pt idx="231">
                  <c:v>2667.4166666666702</c:v>
                </c:pt>
                <c:pt idx="232">
                  <c:v>2587.2125000000001</c:v>
                </c:pt>
                <c:pt idx="233">
                  <c:v>2557.7613636363599</c:v>
                </c:pt>
                <c:pt idx="234">
                  <c:v>2525.4285714285702</c:v>
                </c:pt>
                <c:pt idx="235">
                  <c:v>2380.9749999999999</c:v>
                </c:pt>
                <c:pt idx="236">
                  <c:v>2293.4613636363601</c:v>
                </c:pt>
                <c:pt idx="237">
                  <c:v>2180.6476190476201</c:v>
                </c:pt>
                <c:pt idx="238">
                  <c:v>2079.98181818182</c:v>
                </c:pt>
                <c:pt idx="239">
                  <c:v>2024.375</c:v>
                </c:pt>
                <c:pt idx="240">
                  <c:v>2151.3333333333298</c:v>
                </c:pt>
                <c:pt idx="241">
                  <c:v>2207.9166666666702</c:v>
                </c:pt>
                <c:pt idx="242">
                  <c:v>2184.1590909090901</c:v>
                </c:pt>
                <c:pt idx="243">
                  <c:v>2048.5052631578901</c:v>
                </c:pt>
                <c:pt idx="244">
                  <c:v>2002.52272727273</c:v>
                </c:pt>
                <c:pt idx="245">
                  <c:v>1885.5131578947401</c:v>
                </c:pt>
                <c:pt idx="246">
                  <c:v>1876.25</c:v>
                </c:pt>
                <c:pt idx="247">
                  <c:v>1843.3272727272699</c:v>
                </c:pt>
                <c:pt idx="248">
                  <c:v>2064.12</c:v>
                </c:pt>
                <c:pt idx="249">
                  <c:v>1974.30434782609</c:v>
                </c:pt>
                <c:pt idx="250">
                  <c:v>1948.82954545455</c:v>
                </c:pt>
                <c:pt idx="251">
                  <c:v>2086.7631578947398</c:v>
                </c:pt>
                <c:pt idx="252">
                  <c:v>2037.60681818182</c:v>
                </c:pt>
                <c:pt idx="253">
                  <c:v>2053.5949999999998</c:v>
                </c:pt>
                <c:pt idx="254">
                  <c:v>1911.2825</c:v>
                </c:pt>
                <c:pt idx="255">
                  <c:v>1861.0238095238101</c:v>
                </c:pt>
                <c:pt idx="256">
                  <c:v>1832.57142857143</c:v>
                </c:pt>
                <c:pt idx="257">
                  <c:v>1814.5374999999999</c:v>
                </c:pt>
                <c:pt idx="258">
                  <c:v>1769.6086956521699</c:v>
                </c:pt>
                <c:pt idx="259">
                  <c:v>1816.2357142857099</c:v>
                </c:pt>
                <c:pt idx="260">
                  <c:v>1761.30476190476</c:v>
                </c:pt>
                <c:pt idx="261">
                  <c:v>1814.5826086956499</c:v>
                </c:pt>
                <c:pt idx="262">
                  <c:v>1747.9642857142901</c:v>
                </c:pt>
                <c:pt idx="263">
                  <c:v>1739.81</c:v>
                </c:pt>
                <c:pt idx="264">
                  <c:v>1727.41136363636</c:v>
                </c:pt>
                <c:pt idx="265">
                  <c:v>1695.165</c:v>
                </c:pt>
                <c:pt idx="266">
                  <c:v>1705.36666666667</c:v>
                </c:pt>
                <c:pt idx="267">
                  <c:v>1810.675</c:v>
                </c:pt>
                <c:pt idx="268">
                  <c:v>1751.05</c:v>
                </c:pt>
                <c:pt idx="269">
                  <c:v>1838.9523809523801</c:v>
                </c:pt>
                <c:pt idx="270">
                  <c:v>1948.30434782609</c:v>
                </c:pt>
                <c:pt idx="271">
                  <c:v>2030.4925000000001</c:v>
                </c:pt>
                <c:pt idx="272">
                  <c:v>1990.4318181818201</c:v>
                </c:pt>
                <c:pt idx="273">
                  <c:v>1946.1891304347801</c:v>
                </c:pt>
                <c:pt idx="274">
                  <c:v>2055.5549999999998</c:v>
                </c:pt>
                <c:pt idx="275">
                  <c:v>1909.4595238095201</c:v>
                </c:pt>
                <c:pt idx="276">
                  <c:v>1814.7190476190499</c:v>
                </c:pt>
                <c:pt idx="277">
                  <c:v>1817.82</c:v>
                </c:pt>
                <c:pt idx="278">
                  <c:v>1773.8636363636399</c:v>
                </c:pt>
                <c:pt idx="279">
                  <c:v>1819.1875</c:v>
                </c:pt>
                <c:pt idx="280">
                  <c:v>1804.03947368421</c:v>
                </c:pt>
                <c:pt idx="281">
                  <c:v>1687.72727272727</c:v>
                </c:pt>
                <c:pt idx="282">
                  <c:v>1639.5</c:v>
                </c:pt>
                <c:pt idx="283">
                  <c:v>1548.125</c:v>
                </c:pt>
                <c:pt idx="284">
                  <c:v>1589.60227272727</c:v>
                </c:pt>
                <c:pt idx="285">
                  <c:v>1516.4886363636399</c:v>
                </c:pt>
                <c:pt idx="286">
                  <c:v>1467.8928571428601</c:v>
                </c:pt>
                <c:pt idx="287">
                  <c:v>1497.2023809523801</c:v>
                </c:pt>
                <c:pt idx="288">
                  <c:v>1481.1</c:v>
                </c:pt>
                <c:pt idx="289">
                  <c:v>1531.2619047619</c:v>
                </c:pt>
                <c:pt idx="290">
                  <c:v>1531.0119047619</c:v>
                </c:pt>
                <c:pt idx="291">
                  <c:v>1571.2261904761899</c:v>
                </c:pt>
                <c:pt idx="292">
                  <c:v>1550.625</c:v>
                </c:pt>
                <c:pt idx="293">
                  <c:v>1593.5068181818201</c:v>
                </c:pt>
                <c:pt idx="294">
                  <c:v>1629.0476190476199</c:v>
                </c:pt>
                <c:pt idx="295">
                  <c:v>1639.2840909090901</c:v>
                </c:pt>
                <c:pt idx="296">
                  <c:v>1592.3636363636399</c:v>
                </c:pt>
                <c:pt idx="297">
                  <c:v>1665.9047619047601</c:v>
                </c:pt>
                <c:pt idx="298">
                  <c:v>1737.1136363636399</c:v>
                </c:pt>
                <c:pt idx="299">
                  <c:v>1727.7375</c:v>
                </c:pt>
                <c:pt idx="300">
                  <c:v>1791.2380952381</c:v>
                </c:pt>
                <c:pt idx="301">
                  <c:v>1860.75</c:v>
                </c:pt>
                <c:pt idx="302">
                  <c:v>1901.46739130435</c:v>
                </c:pt>
                <c:pt idx="303">
                  <c:v>1921.2222222222199</c:v>
                </c:pt>
                <c:pt idx="304">
                  <c:v>1913.0238095238101</c:v>
                </c:pt>
                <c:pt idx="305">
                  <c:v>1885.28636363636</c:v>
                </c:pt>
                <c:pt idx="306">
                  <c:v>1902.9642857142901</c:v>
                </c:pt>
                <c:pt idx="307">
                  <c:v>2030.0113636363601</c:v>
                </c:pt>
                <c:pt idx="308">
                  <c:v>2096.4880952381</c:v>
                </c:pt>
                <c:pt idx="309">
                  <c:v>2131.4886363636401</c:v>
                </c:pt>
                <c:pt idx="310">
                  <c:v>2097.4409090909098</c:v>
                </c:pt>
                <c:pt idx="311">
                  <c:v>2080.4736842105299</c:v>
                </c:pt>
                <c:pt idx="312">
                  <c:v>2209.7272727272698</c:v>
                </c:pt>
                <c:pt idx="313">
                  <c:v>2181.7874999999999</c:v>
                </c:pt>
                <c:pt idx="314">
                  <c:v>2069.2380952381</c:v>
                </c:pt>
                <c:pt idx="315">
                  <c:v>2254.6875</c:v>
                </c:pt>
                <c:pt idx="316">
                  <c:v>2299.6666666666702</c:v>
                </c:pt>
                <c:pt idx="317">
                  <c:v>2237.61904761905</c:v>
                </c:pt>
                <c:pt idx="318">
                  <c:v>2082.2386363636401</c:v>
                </c:pt>
                <c:pt idx="319">
                  <c:v>2051.5113636363599</c:v>
                </c:pt>
                <c:pt idx="320">
                  <c:v>2026.4625000000001</c:v>
                </c:pt>
                <c:pt idx="321">
                  <c:v>2029.8586956521699</c:v>
                </c:pt>
                <c:pt idx="322">
                  <c:v>1938.5113636363601</c:v>
                </c:pt>
                <c:pt idx="323">
                  <c:v>1920.3815789473699</c:v>
                </c:pt>
                <c:pt idx="324">
                  <c:v>1853.7159090909099</c:v>
                </c:pt>
                <c:pt idx="325">
                  <c:v>1862.9875</c:v>
                </c:pt>
                <c:pt idx="326">
                  <c:v>1871.2142857142901</c:v>
                </c:pt>
                <c:pt idx="327">
                  <c:v>1845.425</c:v>
                </c:pt>
                <c:pt idx="328">
                  <c:v>1781.2619047619</c:v>
                </c:pt>
                <c:pt idx="329">
                  <c:v>1755.95</c:v>
                </c:pt>
                <c:pt idx="330">
                  <c:v>1796.98913043478</c:v>
                </c:pt>
                <c:pt idx="331">
                  <c:v>1740.67857142857</c:v>
                </c:pt>
                <c:pt idx="332">
                  <c:v>1753.5119047619</c:v>
                </c:pt>
                <c:pt idx="333">
                  <c:v>1725.95652173913</c:v>
                </c:pt>
                <c:pt idx="334">
                  <c:v>1774.7857142857099</c:v>
                </c:pt>
                <c:pt idx="335">
                  <c:v>1771.38</c:v>
                </c:pt>
                <c:pt idx="336">
                  <c:v>1773.0909090909099</c:v>
                </c:pt>
                <c:pt idx="337">
                  <c:v>1688.095</c:v>
                </c:pt>
                <c:pt idx="338">
                  <c:v>1610.8909090909101</c:v>
                </c:pt>
                <c:pt idx="339">
                  <c:v>1459.9345000000001</c:v>
                </c:pt>
                <c:pt idx="340">
                  <c:v>1466.3715789473699</c:v>
                </c:pt>
                <c:pt idx="341">
                  <c:v>1568.57045454545</c:v>
                </c:pt>
                <c:pt idx="342">
                  <c:v>1643.8121739130399</c:v>
                </c:pt>
                <c:pt idx="343">
                  <c:v>1738.5552380952399</c:v>
                </c:pt>
                <c:pt idx="344">
                  <c:v>1743.77454545455</c:v>
                </c:pt>
                <c:pt idx="345">
                  <c:v>1806.1018181818199</c:v>
                </c:pt>
                <c:pt idx="346">
                  <c:v>1935.2833333333299</c:v>
                </c:pt>
                <c:pt idx="347">
                  <c:v>2014.6719047618999</c:v>
                </c:pt>
                <c:pt idx="348">
                  <c:v>2003.9755</c:v>
                </c:pt>
                <c:pt idx="349">
                  <c:v>2078.5934999999999</c:v>
                </c:pt>
                <c:pt idx="350">
                  <c:v>2190.48260869565</c:v>
                </c:pt>
                <c:pt idx="351">
                  <c:v>2319.3924999999999</c:v>
                </c:pt>
                <c:pt idx="352">
                  <c:v>2434.7764999999999</c:v>
                </c:pt>
                <c:pt idx="353">
                  <c:v>2446.6454545454499</c:v>
                </c:pt>
                <c:pt idx="354">
                  <c:v>2497.6354545454501</c:v>
                </c:pt>
                <c:pt idx="355">
                  <c:v>2602.9919047619101</c:v>
                </c:pt>
                <c:pt idx="356">
                  <c:v>2834.5568181818198</c:v>
                </c:pt>
                <c:pt idx="357">
                  <c:v>2934.39380952381</c:v>
                </c:pt>
                <c:pt idx="358">
                  <c:v>2636.4522727272702</c:v>
                </c:pt>
                <c:pt idx="359">
                  <c:v>2695.5314285714298</c:v>
                </c:pt>
                <c:pt idx="360">
                  <c:v>3005.9805000000001</c:v>
                </c:pt>
                <c:pt idx="361">
                  <c:v>3245.7855</c:v>
                </c:pt>
                <c:pt idx="362">
                  <c:v>3498.3730434782601</c:v>
                </c:pt>
                <c:pt idx="363">
                  <c:v>3246.99047619048</c:v>
                </c:pt>
                <c:pt idx="364">
                  <c:v>2839.50545454545</c:v>
                </c:pt>
                <c:pt idx="365">
                  <c:v>2575.6695454545502</c:v>
                </c:pt>
                <c:pt idx="366">
                  <c:v>2408.42333333333</c:v>
                </c:pt>
                <c:pt idx="367">
                  <c:v>2433.9160869565198</c:v>
                </c:pt>
                <c:pt idx="368">
                  <c:v>2224.7559090909099</c:v>
                </c:pt>
                <c:pt idx="369">
                  <c:v>2255.5352380952399</c:v>
                </c:pt>
                <c:pt idx="370">
                  <c:v>2350.7163636363598</c:v>
                </c:pt>
                <c:pt idx="371">
                  <c:v>2398.2068181818199</c:v>
                </c:pt>
                <c:pt idx="372">
                  <c:v>2494.9009090909099</c:v>
                </c:pt>
                <c:pt idx="373">
                  <c:v>2416.1815000000001</c:v>
                </c:pt>
                <c:pt idx="374">
                  <c:v>2296.4169565217398</c:v>
                </c:pt>
                <c:pt idx="375">
                  <c:v>2338.1309999999999</c:v>
                </c:pt>
                <c:pt idx="376">
                  <c:v>2274.0126086956502</c:v>
                </c:pt>
                <c:pt idx="377">
                  <c:v>2184.75363636364</c:v>
                </c:pt>
                <c:pt idx="378">
                  <c:v>2159.73238095238</c:v>
                </c:pt>
                <c:pt idx="379">
                  <c:v>2135.5817391304299</c:v>
                </c:pt>
                <c:pt idx="380">
                  <c:v>2184.6738095238102</c:v>
                </c:pt>
                <c:pt idx="381">
                  <c:v>2194.3909090909101</c:v>
                </c:pt>
                <c:pt idx="382">
                  <c:v>2202.25545454545</c:v>
                </c:pt>
                <c:pt idx="383">
                  <c:v>2192.0052380952402</c:v>
                </c:pt>
                <c:pt idx="384">
                  <c:v>2201.5665217391302</c:v>
                </c:pt>
                <c:pt idx="385">
                  <c:v>2179.4571428571398</c:v>
                </c:pt>
                <c:pt idx="386">
                  <c:v>2229.4419047618999</c:v>
                </c:pt>
                <c:pt idx="387">
                  <c:v>2499.22818181818</c:v>
                </c:pt>
                <c:pt idx="388">
                  <c:v>2566.3186956521699</c:v>
                </c:pt>
                <c:pt idx="389">
                  <c:v>2497.6055000000001</c:v>
                </c:pt>
                <c:pt idx="390">
                  <c:v>2349.1252173912999</c:v>
                </c:pt>
                <c:pt idx="391">
                  <c:v>2352.46727272727</c:v>
                </c:pt>
                <c:pt idx="392">
                  <c:v>2457.4780952381002</c:v>
                </c:pt>
                <c:pt idx="393">
                  <c:v>2595.5830434782602</c:v>
                </c:pt>
                <c:pt idx="394">
                  <c:v>2582.18857142857</c:v>
                </c:pt>
                <c:pt idx="395">
                  <c:v>2540.88227272727</c:v>
                </c:pt>
                <c:pt idx="396">
                  <c:v>2571.3704347826101</c:v>
                </c:pt>
                <c:pt idx="397">
                  <c:v>2655.7725</c:v>
                </c:pt>
                <c:pt idx="398">
                  <c:v>2651.5985714285698</c:v>
                </c:pt>
                <c:pt idx="399">
                  <c:v>2367.8004545454601</c:v>
                </c:pt>
                <c:pt idx="400">
                  <c:v>2447.34409090909</c:v>
                </c:pt>
                <c:pt idx="401">
                  <c:v>2525.9590476190501</c:v>
                </c:pt>
                <c:pt idx="402">
                  <c:v>2606.3708695652199</c:v>
                </c:pt>
                <c:pt idx="403">
                  <c:v>2598.7357142857099</c:v>
                </c:pt>
                <c:pt idx="404">
                  <c:v>2654.4790909090898</c:v>
                </c:pt>
                <c:pt idx="405">
                  <c:v>2793.0869565217399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5-4071-853E-D1341E585CC1}"/>
            </c:ext>
          </c:extLst>
        </c:ser>
        <c:ser>
          <c:idx val="1"/>
          <c:order val="1"/>
          <c:tx>
            <c:strRef>
              <c:f>'dataset_2025-11-17T12_56_18.236'!$E$1</c:f>
              <c:strCache>
                <c:ptCount val="1"/>
                <c:pt idx="0">
                  <c:v>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'dataset_2025-11-17T12_56_18.236'!$C$2:$C$407</c:f>
              <c:strCache>
                <c:ptCount val="406"/>
                <c:pt idx="0">
                  <c:v>1992-Janvier</c:v>
                </c:pt>
                <c:pt idx="1">
                  <c:v>1992-février</c:v>
                </c:pt>
                <c:pt idx="2">
                  <c:v>1992-Mars</c:v>
                </c:pt>
                <c:pt idx="3">
                  <c:v>1992-Avril</c:v>
                </c:pt>
                <c:pt idx="4">
                  <c:v>1992-Mai</c:v>
                </c:pt>
                <c:pt idx="5">
                  <c:v>1992-Juin</c:v>
                </c:pt>
                <c:pt idx="6">
                  <c:v>1992-Juillet</c:v>
                </c:pt>
                <c:pt idx="7">
                  <c:v>1992-Août</c:v>
                </c:pt>
                <c:pt idx="8">
                  <c:v>1992-Septembre</c:v>
                </c:pt>
                <c:pt idx="9">
                  <c:v>1992-Octobre</c:v>
                </c:pt>
                <c:pt idx="10">
                  <c:v>1992-Novembre</c:v>
                </c:pt>
                <c:pt idx="11">
                  <c:v>1992-Décembre</c:v>
                </c:pt>
                <c:pt idx="12">
                  <c:v>1993-Janvier</c:v>
                </c:pt>
                <c:pt idx="13">
                  <c:v>1993-février</c:v>
                </c:pt>
                <c:pt idx="14">
                  <c:v>1993-Mars</c:v>
                </c:pt>
                <c:pt idx="15">
                  <c:v>1993-Avril</c:v>
                </c:pt>
                <c:pt idx="16">
                  <c:v>1993-Mai</c:v>
                </c:pt>
                <c:pt idx="17">
                  <c:v>1993-Juin</c:v>
                </c:pt>
                <c:pt idx="18">
                  <c:v>1993-Juillet</c:v>
                </c:pt>
                <c:pt idx="19">
                  <c:v>1993-Août</c:v>
                </c:pt>
                <c:pt idx="20">
                  <c:v>1993-Septembre</c:v>
                </c:pt>
                <c:pt idx="21">
                  <c:v>1993-Octobre</c:v>
                </c:pt>
                <c:pt idx="22">
                  <c:v>1993-Novembre</c:v>
                </c:pt>
                <c:pt idx="23">
                  <c:v>1993-Décembre</c:v>
                </c:pt>
                <c:pt idx="24">
                  <c:v>1994-Janvier</c:v>
                </c:pt>
                <c:pt idx="25">
                  <c:v>1994-février</c:v>
                </c:pt>
                <c:pt idx="26">
                  <c:v>1994-Mars</c:v>
                </c:pt>
                <c:pt idx="27">
                  <c:v>1994-Avril</c:v>
                </c:pt>
                <c:pt idx="28">
                  <c:v>1994-Mai</c:v>
                </c:pt>
                <c:pt idx="29">
                  <c:v>1994-Juin</c:v>
                </c:pt>
                <c:pt idx="30">
                  <c:v>1994-Juillet</c:v>
                </c:pt>
                <c:pt idx="31">
                  <c:v>1994-Août</c:v>
                </c:pt>
                <c:pt idx="32">
                  <c:v>1994-Septembre</c:v>
                </c:pt>
                <c:pt idx="33">
                  <c:v>1994-Octobre</c:v>
                </c:pt>
                <c:pt idx="34">
                  <c:v>1994-Novembre</c:v>
                </c:pt>
                <c:pt idx="35">
                  <c:v>1994-Décembre</c:v>
                </c:pt>
                <c:pt idx="36">
                  <c:v>1995-Janvier</c:v>
                </c:pt>
                <c:pt idx="37">
                  <c:v>1995-février</c:v>
                </c:pt>
                <c:pt idx="38">
                  <c:v>1995-Mars</c:v>
                </c:pt>
                <c:pt idx="39">
                  <c:v>1995-Avril</c:v>
                </c:pt>
                <c:pt idx="40">
                  <c:v>1995-Mai</c:v>
                </c:pt>
                <c:pt idx="41">
                  <c:v>1995-Juin</c:v>
                </c:pt>
                <c:pt idx="42">
                  <c:v>1995-Juillet</c:v>
                </c:pt>
                <c:pt idx="43">
                  <c:v>1995-Août</c:v>
                </c:pt>
                <c:pt idx="44">
                  <c:v>1995-Septembre</c:v>
                </c:pt>
                <c:pt idx="45">
                  <c:v>1995-Octobre</c:v>
                </c:pt>
                <c:pt idx="46">
                  <c:v>1995-Novembre</c:v>
                </c:pt>
                <c:pt idx="47">
                  <c:v>1995-Décembre</c:v>
                </c:pt>
                <c:pt idx="48">
                  <c:v>1996-Janvier</c:v>
                </c:pt>
                <c:pt idx="49">
                  <c:v>1996-février</c:v>
                </c:pt>
                <c:pt idx="50">
                  <c:v>1996-Mars</c:v>
                </c:pt>
                <c:pt idx="51">
                  <c:v>1996-Avril</c:v>
                </c:pt>
                <c:pt idx="52">
                  <c:v>1996-Mai</c:v>
                </c:pt>
                <c:pt idx="53">
                  <c:v>1996-Juin</c:v>
                </c:pt>
                <c:pt idx="54">
                  <c:v>1996-Juillet</c:v>
                </c:pt>
                <c:pt idx="55">
                  <c:v>1996-Août</c:v>
                </c:pt>
                <c:pt idx="56">
                  <c:v>1996-Septembre</c:v>
                </c:pt>
                <c:pt idx="57">
                  <c:v>1996-Octobre</c:v>
                </c:pt>
                <c:pt idx="58">
                  <c:v>1996-Novembre</c:v>
                </c:pt>
                <c:pt idx="59">
                  <c:v>1996-Décembre</c:v>
                </c:pt>
                <c:pt idx="60">
                  <c:v>1997-Janvier</c:v>
                </c:pt>
                <c:pt idx="61">
                  <c:v>1997-février</c:v>
                </c:pt>
                <c:pt idx="62">
                  <c:v>1997-Mars</c:v>
                </c:pt>
                <c:pt idx="63">
                  <c:v>1997-Avril</c:v>
                </c:pt>
                <c:pt idx="64">
                  <c:v>1997-Mai</c:v>
                </c:pt>
                <c:pt idx="65">
                  <c:v>1997-Juin</c:v>
                </c:pt>
                <c:pt idx="66">
                  <c:v>1997-Juillet</c:v>
                </c:pt>
                <c:pt idx="67">
                  <c:v>1997-Août</c:v>
                </c:pt>
                <c:pt idx="68">
                  <c:v>1997-Septembre</c:v>
                </c:pt>
                <c:pt idx="69">
                  <c:v>1997-Octobre</c:v>
                </c:pt>
                <c:pt idx="70">
                  <c:v>1997-Novembre</c:v>
                </c:pt>
                <c:pt idx="71">
                  <c:v>1997-Décembre</c:v>
                </c:pt>
                <c:pt idx="72">
                  <c:v>1998-Janvier</c:v>
                </c:pt>
                <c:pt idx="73">
                  <c:v>1998-février</c:v>
                </c:pt>
                <c:pt idx="74">
                  <c:v>1998-Mars</c:v>
                </c:pt>
                <c:pt idx="75">
                  <c:v>1998-Avril</c:v>
                </c:pt>
                <c:pt idx="76">
                  <c:v>1998-Mai</c:v>
                </c:pt>
                <c:pt idx="77">
                  <c:v>1998-Juin</c:v>
                </c:pt>
                <c:pt idx="78">
                  <c:v>1998-Juillet</c:v>
                </c:pt>
                <c:pt idx="79">
                  <c:v>1998-Août</c:v>
                </c:pt>
                <c:pt idx="80">
                  <c:v>1998-Septembre</c:v>
                </c:pt>
                <c:pt idx="81">
                  <c:v>1998-Octobre</c:v>
                </c:pt>
                <c:pt idx="82">
                  <c:v>1998-Novembre</c:v>
                </c:pt>
                <c:pt idx="83">
                  <c:v>1998-Décembre</c:v>
                </c:pt>
                <c:pt idx="84">
                  <c:v>1999-Janvier</c:v>
                </c:pt>
                <c:pt idx="85">
                  <c:v>1999-février</c:v>
                </c:pt>
                <c:pt idx="86">
                  <c:v>1999-Mars</c:v>
                </c:pt>
                <c:pt idx="87">
                  <c:v>1999-Avril</c:v>
                </c:pt>
                <c:pt idx="88">
                  <c:v>1999-Mai</c:v>
                </c:pt>
                <c:pt idx="89">
                  <c:v>1999-Juin</c:v>
                </c:pt>
                <c:pt idx="90">
                  <c:v>1999-Juillet</c:v>
                </c:pt>
                <c:pt idx="91">
                  <c:v>1999-Août</c:v>
                </c:pt>
                <c:pt idx="92">
                  <c:v>1999-Septembre</c:v>
                </c:pt>
                <c:pt idx="93">
                  <c:v>1999-Octobre</c:v>
                </c:pt>
                <c:pt idx="94">
                  <c:v>1999-Novembre</c:v>
                </c:pt>
                <c:pt idx="95">
                  <c:v>1999-Décembre</c:v>
                </c:pt>
                <c:pt idx="96">
                  <c:v>2000-Janvier</c:v>
                </c:pt>
                <c:pt idx="97">
                  <c:v>2000-février</c:v>
                </c:pt>
                <c:pt idx="98">
                  <c:v>2000-Mars</c:v>
                </c:pt>
                <c:pt idx="99">
                  <c:v>2000-Avril</c:v>
                </c:pt>
                <c:pt idx="100">
                  <c:v>2000-Mai</c:v>
                </c:pt>
                <c:pt idx="101">
                  <c:v>2000-Juin</c:v>
                </c:pt>
                <c:pt idx="102">
                  <c:v>2000-Juillet</c:v>
                </c:pt>
                <c:pt idx="103">
                  <c:v>2000-Août</c:v>
                </c:pt>
                <c:pt idx="104">
                  <c:v>2000-Septembre</c:v>
                </c:pt>
                <c:pt idx="105">
                  <c:v>2000-Octobre</c:v>
                </c:pt>
                <c:pt idx="106">
                  <c:v>2000-Novembre</c:v>
                </c:pt>
                <c:pt idx="107">
                  <c:v>2000-Décembre</c:v>
                </c:pt>
                <c:pt idx="108">
                  <c:v>2001-Janvier</c:v>
                </c:pt>
                <c:pt idx="109">
                  <c:v>2001-février</c:v>
                </c:pt>
                <c:pt idx="110">
                  <c:v>2001-Mars</c:v>
                </c:pt>
                <c:pt idx="111">
                  <c:v>2001-Avril</c:v>
                </c:pt>
                <c:pt idx="112">
                  <c:v>2001-Mai</c:v>
                </c:pt>
                <c:pt idx="113">
                  <c:v>2001-Juin</c:v>
                </c:pt>
                <c:pt idx="114">
                  <c:v>2001-Juillet</c:v>
                </c:pt>
                <c:pt idx="115">
                  <c:v>2001-Août</c:v>
                </c:pt>
                <c:pt idx="116">
                  <c:v>2001-Septembre</c:v>
                </c:pt>
                <c:pt idx="117">
                  <c:v>2001-Octobre</c:v>
                </c:pt>
                <c:pt idx="118">
                  <c:v>2001-Novembre</c:v>
                </c:pt>
                <c:pt idx="119">
                  <c:v>2001-Décembre</c:v>
                </c:pt>
                <c:pt idx="120">
                  <c:v>2002-Janvier</c:v>
                </c:pt>
                <c:pt idx="121">
                  <c:v>2002-février</c:v>
                </c:pt>
                <c:pt idx="122">
                  <c:v>2002-Mars</c:v>
                </c:pt>
                <c:pt idx="123">
                  <c:v>2002-Avril</c:v>
                </c:pt>
                <c:pt idx="124">
                  <c:v>2002-Mai</c:v>
                </c:pt>
                <c:pt idx="125">
                  <c:v>2002-Juin</c:v>
                </c:pt>
                <c:pt idx="126">
                  <c:v>2002-Juillet</c:v>
                </c:pt>
                <c:pt idx="127">
                  <c:v>2002-Août</c:v>
                </c:pt>
                <c:pt idx="128">
                  <c:v>2002-Septembre</c:v>
                </c:pt>
                <c:pt idx="129">
                  <c:v>2002-Octobre</c:v>
                </c:pt>
                <c:pt idx="130">
                  <c:v>2002-Novembre</c:v>
                </c:pt>
                <c:pt idx="131">
                  <c:v>2002-Décembre</c:v>
                </c:pt>
                <c:pt idx="132">
                  <c:v>2003-Janvier</c:v>
                </c:pt>
                <c:pt idx="133">
                  <c:v>2003-février</c:v>
                </c:pt>
                <c:pt idx="134">
                  <c:v>2003-Mars</c:v>
                </c:pt>
                <c:pt idx="135">
                  <c:v>2003-Avril</c:v>
                </c:pt>
                <c:pt idx="136">
                  <c:v>2003-Mai</c:v>
                </c:pt>
                <c:pt idx="137">
                  <c:v>2003-Juin</c:v>
                </c:pt>
                <c:pt idx="138">
                  <c:v>2003-Juillet</c:v>
                </c:pt>
                <c:pt idx="139">
                  <c:v>2003-Août</c:v>
                </c:pt>
                <c:pt idx="140">
                  <c:v>2003-Septembre</c:v>
                </c:pt>
                <c:pt idx="141">
                  <c:v>2003-Octobre</c:v>
                </c:pt>
                <c:pt idx="142">
                  <c:v>2003-Novembre</c:v>
                </c:pt>
                <c:pt idx="143">
                  <c:v>2003-Décembre</c:v>
                </c:pt>
                <c:pt idx="144">
                  <c:v>2004-Janvier</c:v>
                </c:pt>
                <c:pt idx="145">
                  <c:v>2004-février</c:v>
                </c:pt>
                <c:pt idx="146">
                  <c:v>2004-Mars</c:v>
                </c:pt>
                <c:pt idx="147">
                  <c:v>2004-Avril</c:v>
                </c:pt>
                <c:pt idx="148">
                  <c:v>2004-Mai</c:v>
                </c:pt>
                <c:pt idx="149">
                  <c:v>2004-Juin</c:v>
                </c:pt>
                <c:pt idx="150">
                  <c:v>2004-Juillet</c:v>
                </c:pt>
                <c:pt idx="151">
                  <c:v>2004-Août</c:v>
                </c:pt>
                <c:pt idx="152">
                  <c:v>2004-Septembre</c:v>
                </c:pt>
                <c:pt idx="153">
                  <c:v>2004-Octobre</c:v>
                </c:pt>
                <c:pt idx="154">
                  <c:v>2004-Novembre</c:v>
                </c:pt>
                <c:pt idx="155">
                  <c:v>2004-Décembre</c:v>
                </c:pt>
                <c:pt idx="156">
                  <c:v>2005-Janvier</c:v>
                </c:pt>
                <c:pt idx="157">
                  <c:v>2005-février</c:v>
                </c:pt>
                <c:pt idx="158">
                  <c:v>2005-Mars</c:v>
                </c:pt>
                <c:pt idx="159">
                  <c:v>2005-Avril</c:v>
                </c:pt>
                <c:pt idx="160">
                  <c:v>2005-Mai</c:v>
                </c:pt>
                <c:pt idx="161">
                  <c:v>2005-Juin</c:v>
                </c:pt>
                <c:pt idx="162">
                  <c:v>2005-Juillet</c:v>
                </c:pt>
                <c:pt idx="163">
                  <c:v>2005-Août</c:v>
                </c:pt>
                <c:pt idx="164">
                  <c:v>2005-Septembre</c:v>
                </c:pt>
                <c:pt idx="165">
                  <c:v>2005-Octobre</c:v>
                </c:pt>
                <c:pt idx="166">
                  <c:v>2005-Novembre</c:v>
                </c:pt>
                <c:pt idx="167">
                  <c:v>2005-Décembre</c:v>
                </c:pt>
                <c:pt idx="168">
                  <c:v>2006-Janvier</c:v>
                </c:pt>
                <c:pt idx="169">
                  <c:v>2006-février</c:v>
                </c:pt>
                <c:pt idx="170">
                  <c:v>2006-Mars</c:v>
                </c:pt>
                <c:pt idx="171">
                  <c:v>2006-Avril</c:v>
                </c:pt>
                <c:pt idx="172">
                  <c:v>2006-Mai</c:v>
                </c:pt>
                <c:pt idx="173">
                  <c:v>2006-Juin</c:v>
                </c:pt>
                <c:pt idx="174">
                  <c:v>2006-Juillet</c:v>
                </c:pt>
                <c:pt idx="175">
                  <c:v>2006-Août</c:v>
                </c:pt>
                <c:pt idx="176">
                  <c:v>2006-Septembre</c:v>
                </c:pt>
                <c:pt idx="177">
                  <c:v>2006-Octobre</c:v>
                </c:pt>
                <c:pt idx="178">
                  <c:v>2006-Novembre</c:v>
                </c:pt>
                <c:pt idx="179">
                  <c:v>2006-Décembre</c:v>
                </c:pt>
                <c:pt idx="180">
                  <c:v>2007-Janvier</c:v>
                </c:pt>
                <c:pt idx="181">
                  <c:v>2007-février</c:v>
                </c:pt>
                <c:pt idx="182">
                  <c:v>2007-Mars</c:v>
                </c:pt>
                <c:pt idx="183">
                  <c:v>2007-Avril</c:v>
                </c:pt>
                <c:pt idx="184">
                  <c:v>2007-Mai</c:v>
                </c:pt>
                <c:pt idx="185">
                  <c:v>2007-Juin</c:v>
                </c:pt>
                <c:pt idx="186">
                  <c:v>2007-Juillet</c:v>
                </c:pt>
                <c:pt idx="187">
                  <c:v>2007-Août</c:v>
                </c:pt>
                <c:pt idx="188">
                  <c:v>2007-Septembre</c:v>
                </c:pt>
                <c:pt idx="189">
                  <c:v>2007-Octobre</c:v>
                </c:pt>
                <c:pt idx="190">
                  <c:v>2007-Novembre</c:v>
                </c:pt>
                <c:pt idx="191">
                  <c:v>2007-Décembre</c:v>
                </c:pt>
                <c:pt idx="192">
                  <c:v>2008-Janvier</c:v>
                </c:pt>
                <c:pt idx="193">
                  <c:v>2008-février</c:v>
                </c:pt>
                <c:pt idx="194">
                  <c:v>2008-Mars</c:v>
                </c:pt>
                <c:pt idx="195">
                  <c:v>2008-Avril</c:v>
                </c:pt>
                <c:pt idx="196">
                  <c:v>2008-Mai</c:v>
                </c:pt>
                <c:pt idx="197">
                  <c:v>2008-Juin</c:v>
                </c:pt>
                <c:pt idx="198">
                  <c:v>2008-Juillet</c:v>
                </c:pt>
                <c:pt idx="199">
                  <c:v>2008-Août</c:v>
                </c:pt>
                <c:pt idx="200">
                  <c:v>2008-Septembre</c:v>
                </c:pt>
                <c:pt idx="201">
                  <c:v>2008-Octobre</c:v>
                </c:pt>
                <c:pt idx="202">
                  <c:v>2008-Novembre</c:v>
                </c:pt>
                <c:pt idx="203">
                  <c:v>2008-Décembre</c:v>
                </c:pt>
                <c:pt idx="204">
                  <c:v>2009-Janvier</c:v>
                </c:pt>
                <c:pt idx="205">
                  <c:v>2009-février</c:v>
                </c:pt>
                <c:pt idx="206">
                  <c:v>2009-Mars</c:v>
                </c:pt>
                <c:pt idx="207">
                  <c:v>2009-Avril</c:v>
                </c:pt>
                <c:pt idx="208">
                  <c:v>2009-Mai</c:v>
                </c:pt>
                <c:pt idx="209">
                  <c:v>2009-Juin</c:v>
                </c:pt>
                <c:pt idx="210">
                  <c:v>2009-Juillet</c:v>
                </c:pt>
                <c:pt idx="211">
                  <c:v>2009-Août</c:v>
                </c:pt>
                <c:pt idx="212">
                  <c:v>2009-Septembre</c:v>
                </c:pt>
                <c:pt idx="213">
                  <c:v>2009-Octobre</c:v>
                </c:pt>
                <c:pt idx="214">
                  <c:v>2009-Novembre</c:v>
                </c:pt>
                <c:pt idx="215">
                  <c:v>2009-Décembre</c:v>
                </c:pt>
                <c:pt idx="216">
                  <c:v>2010-Janvier</c:v>
                </c:pt>
                <c:pt idx="217">
                  <c:v>2010-février</c:v>
                </c:pt>
                <c:pt idx="218">
                  <c:v>2010-Mars</c:v>
                </c:pt>
                <c:pt idx="219">
                  <c:v>2010-Avril</c:v>
                </c:pt>
                <c:pt idx="220">
                  <c:v>2010-Mai</c:v>
                </c:pt>
                <c:pt idx="221">
                  <c:v>2010-Juin</c:v>
                </c:pt>
                <c:pt idx="222">
                  <c:v>2010-Juillet</c:v>
                </c:pt>
                <c:pt idx="223">
                  <c:v>2010-Août</c:v>
                </c:pt>
                <c:pt idx="224">
                  <c:v>2010-Septembre</c:v>
                </c:pt>
                <c:pt idx="225">
                  <c:v>2010-Octobre</c:v>
                </c:pt>
                <c:pt idx="226">
                  <c:v>2010-Novembre</c:v>
                </c:pt>
                <c:pt idx="227">
                  <c:v>2010-Décembre</c:v>
                </c:pt>
                <c:pt idx="228">
                  <c:v>2011-Janvier</c:v>
                </c:pt>
                <c:pt idx="229">
                  <c:v>2011-février</c:v>
                </c:pt>
                <c:pt idx="230">
                  <c:v>2011-Mars</c:v>
                </c:pt>
                <c:pt idx="231">
                  <c:v>2011-Avril</c:v>
                </c:pt>
                <c:pt idx="232">
                  <c:v>2011-Mai</c:v>
                </c:pt>
                <c:pt idx="233">
                  <c:v>2011-Juin</c:v>
                </c:pt>
                <c:pt idx="234">
                  <c:v>2011-Juillet</c:v>
                </c:pt>
                <c:pt idx="235">
                  <c:v>2011-Août</c:v>
                </c:pt>
                <c:pt idx="236">
                  <c:v>2011-Septembre</c:v>
                </c:pt>
                <c:pt idx="237">
                  <c:v>2011-Octobre</c:v>
                </c:pt>
                <c:pt idx="238">
                  <c:v>2011-Novembre</c:v>
                </c:pt>
                <c:pt idx="239">
                  <c:v>2011-Décembre</c:v>
                </c:pt>
                <c:pt idx="240">
                  <c:v>2012-Janvier</c:v>
                </c:pt>
                <c:pt idx="241">
                  <c:v>2012-février</c:v>
                </c:pt>
                <c:pt idx="242">
                  <c:v>2012-Mars</c:v>
                </c:pt>
                <c:pt idx="243">
                  <c:v>2012-Avril</c:v>
                </c:pt>
                <c:pt idx="244">
                  <c:v>2012-Mai</c:v>
                </c:pt>
                <c:pt idx="245">
                  <c:v>2012-Juin</c:v>
                </c:pt>
                <c:pt idx="246">
                  <c:v>2012-Juillet</c:v>
                </c:pt>
                <c:pt idx="247">
                  <c:v>2012-Août</c:v>
                </c:pt>
                <c:pt idx="248">
                  <c:v>2012-Septembre</c:v>
                </c:pt>
                <c:pt idx="249">
                  <c:v>2012-Octobre</c:v>
                </c:pt>
                <c:pt idx="250">
                  <c:v>2012-Novembre</c:v>
                </c:pt>
                <c:pt idx="251">
                  <c:v>2012-Décembre</c:v>
                </c:pt>
                <c:pt idx="252">
                  <c:v>2013-Janvier</c:v>
                </c:pt>
                <c:pt idx="253">
                  <c:v>2013-février</c:v>
                </c:pt>
                <c:pt idx="254">
                  <c:v>2013-Mars</c:v>
                </c:pt>
                <c:pt idx="255">
                  <c:v>2013-Avril</c:v>
                </c:pt>
                <c:pt idx="256">
                  <c:v>2013-Mai</c:v>
                </c:pt>
                <c:pt idx="257">
                  <c:v>2013-Juin</c:v>
                </c:pt>
                <c:pt idx="258">
                  <c:v>2013-Juillet</c:v>
                </c:pt>
                <c:pt idx="259">
                  <c:v>2013-Août</c:v>
                </c:pt>
                <c:pt idx="260">
                  <c:v>2013-Septembre</c:v>
                </c:pt>
                <c:pt idx="261">
                  <c:v>2013-Octobre</c:v>
                </c:pt>
                <c:pt idx="262">
                  <c:v>2013-Novembre</c:v>
                </c:pt>
                <c:pt idx="263">
                  <c:v>2013-Décembre</c:v>
                </c:pt>
                <c:pt idx="264">
                  <c:v>2014-Janvier</c:v>
                </c:pt>
                <c:pt idx="265">
                  <c:v>2014-février</c:v>
                </c:pt>
                <c:pt idx="266">
                  <c:v>2014-Mars</c:v>
                </c:pt>
                <c:pt idx="267">
                  <c:v>2014-Avril</c:v>
                </c:pt>
                <c:pt idx="268">
                  <c:v>2014-Mai</c:v>
                </c:pt>
                <c:pt idx="269">
                  <c:v>2014-Juin</c:v>
                </c:pt>
                <c:pt idx="270">
                  <c:v>2014-Juillet</c:v>
                </c:pt>
                <c:pt idx="271">
                  <c:v>2014-Août</c:v>
                </c:pt>
                <c:pt idx="272">
                  <c:v>2014-Septembre</c:v>
                </c:pt>
                <c:pt idx="273">
                  <c:v>2014-Octobre</c:v>
                </c:pt>
                <c:pt idx="274">
                  <c:v>2014-Novembre</c:v>
                </c:pt>
                <c:pt idx="275">
                  <c:v>2014-Décembre</c:v>
                </c:pt>
                <c:pt idx="276">
                  <c:v>2015-Janvier</c:v>
                </c:pt>
                <c:pt idx="277">
                  <c:v>2015-février</c:v>
                </c:pt>
                <c:pt idx="278">
                  <c:v>2015-Mars</c:v>
                </c:pt>
                <c:pt idx="279">
                  <c:v>2015-Avril</c:v>
                </c:pt>
                <c:pt idx="280">
                  <c:v>2015-Mai</c:v>
                </c:pt>
                <c:pt idx="281">
                  <c:v>2015-Juin</c:v>
                </c:pt>
                <c:pt idx="282">
                  <c:v>2015-Juillet</c:v>
                </c:pt>
                <c:pt idx="283">
                  <c:v>2015-Août</c:v>
                </c:pt>
                <c:pt idx="284">
                  <c:v>2015-Septembre</c:v>
                </c:pt>
                <c:pt idx="285">
                  <c:v>2015-Octobre</c:v>
                </c:pt>
                <c:pt idx="286">
                  <c:v>2015-Novembre</c:v>
                </c:pt>
                <c:pt idx="287">
                  <c:v>2015-Décembre</c:v>
                </c:pt>
                <c:pt idx="288">
                  <c:v>2016-Janvier</c:v>
                </c:pt>
                <c:pt idx="289">
                  <c:v>2016-février</c:v>
                </c:pt>
                <c:pt idx="290">
                  <c:v>2016-Mars</c:v>
                </c:pt>
                <c:pt idx="291">
                  <c:v>2016-Avril</c:v>
                </c:pt>
                <c:pt idx="292">
                  <c:v>2016-Mai</c:v>
                </c:pt>
                <c:pt idx="293">
                  <c:v>2016-Juin</c:v>
                </c:pt>
                <c:pt idx="294">
                  <c:v>2016-Juillet</c:v>
                </c:pt>
                <c:pt idx="295">
                  <c:v>2016-Août</c:v>
                </c:pt>
                <c:pt idx="296">
                  <c:v>2016-Septembre</c:v>
                </c:pt>
                <c:pt idx="297">
                  <c:v>2016-Octobre</c:v>
                </c:pt>
                <c:pt idx="298">
                  <c:v>2016-Novembre</c:v>
                </c:pt>
                <c:pt idx="299">
                  <c:v>2016-Décembre</c:v>
                </c:pt>
                <c:pt idx="300">
                  <c:v>2017-Janvier</c:v>
                </c:pt>
                <c:pt idx="301">
                  <c:v>2017-février</c:v>
                </c:pt>
                <c:pt idx="302">
                  <c:v>2017-Mars</c:v>
                </c:pt>
                <c:pt idx="303">
                  <c:v>2017-Avril</c:v>
                </c:pt>
                <c:pt idx="304">
                  <c:v>2017-Mai</c:v>
                </c:pt>
                <c:pt idx="305">
                  <c:v>2017-Juin</c:v>
                </c:pt>
                <c:pt idx="306">
                  <c:v>2017-Juillet</c:v>
                </c:pt>
                <c:pt idx="307">
                  <c:v>2017-Août</c:v>
                </c:pt>
                <c:pt idx="308">
                  <c:v>2017-Septembre</c:v>
                </c:pt>
                <c:pt idx="309">
                  <c:v>2017-Octobre</c:v>
                </c:pt>
                <c:pt idx="310">
                  <c:v>2017-Novembre</c:v>
                </c:pt>
                <c:pt idx="311">
                  <c:v>2017-Décembre</c:v>
                </c:pt>
                <c:pt idx="312">
                  <c:v>2018-Janvier</c:v>
                </c:pt>
                <c:pt idx="313">
                  <c:v>2018-février</c:v>
                </c:pt>
                <c:pt idx="314">
                  <c:v>2018-Mars</c:v>
                </c:pt>
                <c:pt idx="315">
                  <c:v>2018-Avril</c:v>
                </c:pt>
                <c:pt idx="316">
                  <c:v>2018-Mai</c:v>
                </c:pt>
                <c:pt idx="317">
                  <c:v>2018-Juin</c:v>
                </c:pt>
                <c:pt idx="318">
                  <c:v>2018-Juillet</c:v>
                </c:pt>
                <c:pt idx="319">
                  <c:v>2018-Août</c:v>
                </c:pt>
                <c:pt idx="320">
                  <c:v>2018-Septembre</c:v>
                </c:pt>
                <c:pt idx="321">
                  <c:v>2018-Octobre</c:v>
                </c:pt>
                <c:pt idx="322">
                  <c:v>2018-Novembre</c:v>
                </c:pt>
                <c:pt idx="323">
                  <c:v>2018-Décembre</c:v>
                </c:pt>
                <c:pt idx="324">
                  <c:v>2019-Janvier</c:v>
                </c:pt>
                <c:pt idx="325">
                  <c:v>2019-février</c:v>
                </c:pt>
                <c:pt idx="326">
                  <c:v>2019-Mars</c:v>
                </c:pt>
                <c:pt idx="327">
                  <c:v>2019-Avril</c:v>
                </c:pt>
                <c:pt idx="328">
                  <c:v>2019-Mai</c:v>
                </c:pt>
                <c:pt idx="329">
                  <c:v>2019-Juin</c:v>
                </c:pt>
                <c:pt idx="330">
                  <c:v>2019-Juillet</c:v>
                </c:pt>
                <c:pt idx="331">
                  <c:v>2019-Août</c:v>
                </c:pt>
                <c:pt idx="332">
                  <c:v>2019-Septembre</c:v>
                </c:pt>
                <c:pt idx="333">
                  <c:v>2019-Octobre</c:v>
                </c:pt>
                <c:pt idx="334">
                  <c:v>2019-Novembre</c:v>
                </c:pt>
                <c:pt idx="335">
                  <c:v>2019-Décembre</c:v>
                </c:pt>
                <c:pt idx="336">
                  <c:v>2020-Janvier</c:v>
                </c:pt>
                <c:pt idx="337">
                  <c:v>2020-février</c:v>
                </c:pt>
                <c:pt idx="338">
                  <c:v>2020-Mars</c:v>
                </c:pt>
                <c:pt idx="339">
                  <c:v>2020-Avril</c:v>
                </c:pt>
                <c:pt idx="340">
                  <c:v>2020-Mai</c:v>
                </c:pt>
                <c:pt idx="341">
                  <c:v>2020-Juin</c:v>
                </c:pt>
                <c:pt idx="342">
                  <c:v>2020-Juillet</c:v>
                </c:pt>
                <c:pt idx="343">
                  <c:v>2020-Août</c:v>
                </c:pt>
                <c:pt idx="344">
                  <c:v>2020-Septembre</c:v>
                </c:pt>
                <c:pt idx="345">
                  <c:v>2020-Octobre</c:v>
                </c:pt>
                <c:pt idx="346">
                  <c:v>2020-Novembre</c:v>
                </c:pt>
                <c:pt idx="347">
                  <c:v>2020-Décembre</c:v>
                </c:pt>
                <c:pt idx="348">
                  <c:v>2021-Janvier</c:v>
                </c:pt>
                <c:pt idx="349">
                  <c:v>2021-février</c:v>
                </c:pt>
                <c:pt idx="350">
                  <c:v>2021-Mars</c:v>
                </c:pt>
                <c:pt idx="351">
                  <c:v>2021-Avril</c:v>
                </c:pt>
                <c:pt idx="352">
                  <c:v>2021-Mai</c:v>
                </c:pt>
                <c:pt idx="353">
                  <c:v>2021-Juin</c:v>
                </c:pt>
                <c:pt idx="354">
                  <c:v>2021-Juillet</c:v>
                </c:pt>
                <c:pt idx="355">
                  <c:v>2021-Août</c:v>
                </c:pt>
                <c:pt idx="356">
                  <c:v>2021-Septembre</c:v>
                </c:pt>
                <c:pt idx="357">
                  <c:v>2021-Octobre</c:v>
                </c:pt>
                <c:pt idx="358">
                  <c:v>2021-Novembre</c:v>
                </c:pt>
                <c:pt idx="359">
                  <c:v>2021-Décembre</c:v>
                </c:pt>
                <c:pt idx="360">
                  <c:v>2022-Janvier</c:v>
                </c:pt>
                <c:pt idx="361">
                  <c:v>2022-février</c:v>
                </c:pt>
                <c:pt idx="362">
                  <c:v>2022-Mars</c:v>
                </c:pt>
                <c:pt idx="363">
                  <c:v>2022-Avril</c:v>
                </c:pt>
                <c:pt idx="364">
                  <c:v>2022-Mai</c:v>
                </c:pt>
                <c:pt idx="365">
                  <c:v>2022-Juin</c:v>
                </c:pt>
                <c:pt idx="366">
                  <c:v>2022-Juillet</c:v>
                </c:pt>
                <c:pt idx="367">
                  <c:v>2022-Août</c:v>
                </c:pt>
                <c:pt idx="368">
                  <c:v>2022-Septembre</c:v>
                </c:pt>
                <c:pt idx="369">
                  <c:v>2022-Octobre</c:v>
                </c:pt>
                <c:pt idx="370">
                  <c:v>2022-Novembre</c:v>
                </c:pt>
                <c:pt idx="371">
                  <c:v>2022-Décembre</c:v>
                </c:pt>
                <c:pt idx="372">
                  <c:v>2023-Janvier</c:v>
                </c:pt>
                <c:pt idx="373">
                  <c:v>2023-février</c:v>
                </c:pt>
                <c:pt idx="374">
                  <c:v>2023-Mars</c:v>
                </c:pt>
                <c:pt idx="375">
                  <c:v>2023-Avril</c:v>
                </c:pt>
                <c:pt idx="376">
                  <c:v>2023-Mai</c:v>
                </c:pt>
                <c:pt idx="377">
                  <c:v>2023-Juin</c:v>
                </c:pt>
                <c:pt idx="378">
                  <c:v>2023-Juillet</c:v>
                </c:pt>
                <c:pt idx="379">
                  <c:v>2023-Août</c:v>
                </c:pt>
                <c:pt idx="380">
                  <c:v>2023-Septembre</c:v>
                </c:pt>
                <c:pt idx="381">
                  <c:v>2023-Octobre</c:v>
                </c:pt>
                <c:pt idx="382">
                  <c:v>2023-Novembre</c:v>
                </c:pt>
                <c:pt idx="383">
                  <c:v>2023-Décembre</c:v>
                </c:pt>
                <c:pt idx="384">
                  <c:v>2024-Janvier</c:v>
                </c:pt>
                <c:pt idx="385">
                  <c:v>2024-février</c:v>
                </c:pt>
                <c:pt idx="386">
                  <c:v>2024-Mars</c:v>
                </c:pt>
                <c:pt idx="387">
                  <c:v>2024-Avril</c:v>
                </c:pt>
                <c:pt idx="388">
                  <c:v>2024-Mai</c:v>
                </c:pt>
                <c:pt idx="389">
                  <c:v>2024-Juin</c:v>
                </c:pt>
                <c:pt idx="390">
                  <c:v>2024-Juillet</c:v>
                </c:pt>
                <c:pt idx="391">
                  <c:v>2024-Août</c:v>
                </c:pt>
                <c:pt idx="392">
                  <c:v>2024-Septembre</c:v>
                </c:pt>
                <c:pt idx="393">
                  <c:v>2024-Octobre</c:v>
                </c:pt>
                <c:pt idx="394">
                  <c:v>2024-Novembre</c:v>
                </c:pt>
                <c:pt idx="395">
                  <c:v>2024-Décembre</c:v>
                </c:pt>
                <c:pt idx="396">
                  <c:v>2025-Janvier</c:v>
                </c:pt>
                <c:pt idx="397">
                  <c:v>2025-février</c:v>
                </c:pt>
                <c:pt idx="398">
                  <c:v>2025-Mars</c:v>
                </c:pt>
                <c:pt idx="399">
                  <c:v>2025-Avril</c:v>
                </c:pt>
                <c:pt idx="400">
                  <c:v>2025-Mai</c:v>
                </c:pt>
                <c:pt idx="401">
                  <c:v>2025-Juin</c:v>
                </c:pt>
                <c:pt idx="402">
                  <c:v>2025-Juillet</c:v>
                </c:pt>
                <c:pt idx="403">
                  <c:v>2025-Août</c:v>
                </c:pt>
                <c:pt idx="404">
                  <c:v>2025-Septembre</c:v>
                </c:pt>
                <c:pt idx="405">
                  <c:v>2025-Octobre</c:v>
                </c:pt>
              </c:strCache>
            </c:strRef>
          </c:cat>
          <c:val>
            <c:numRef>
              <c:f>'dataset_2025-11-17T12_56_18.236'!$E$2:$E$415</c:f>
              <c:numCache>
                <c:formatCode>General</c:formatCode>
                <c:ptCount val="414"/>
                <c:pt idx="0">
                  <c:v>73.634248011262699</c:v>
                </c:pt>
                <c:pt idx="1">
                  <c:v>79.214831102002506</c:v>
                </c:pt>
                <c:pt idx="2">
                  <c:v>79.917538502220296</c:v>
                </c:pt>
                <c:pt idx="3">
                  <c:v>82.105712701337893</c:v>
                </c:pt>
                <c:pt idx="4">
                  <c:v>81.456515344201406</c:v>
                </c:pt>
                <c:pt idx="5">
                  <c:v>79.496763282910095</c:v>
                </c:pt>
                <c:pt idx="6">
                  <c:v>81.932596449903897</c:v>
                </c:pt>
                <c:pt idx="7">
                  <c:v>81.384164165360204</c:v>
                </c:pt>
                <c:pt idx="8">
                  <c:v>79.181440591615996</c:v>
                </c:pt>
                <c:pt idx="9">
                  <c:v>73.610171535678603</c:v>
                </c:pt>
                <c:pt idx="10">
                  <c:v>72.449037082651799</c:v>
                </c:pt>
                <c:pt idx="11">
                  <c:v>75.367000912266604</c:v>
                </c:pt>
                <c:pt idx="12">
                  <c:v>75.309412174207097</c:v>
                </c:pt>
                <c:pt idx="13">
                  <c:v>75.000846723848099</c:v>
                </c:pt>
                <c:pt idx="14">
                  <c:v>71.717443999338201</c:v>
                </c:pt>
                <c:pt idx="15">
                  <c:v>69.211291391486498</c:v>
                </c:pt>
                <c:pt idx="16">
                  <c:v>70.155448403045099</c:v>
                </c:pt>
                <c:pt idx="17">
                  <c:v>72.815366289697593</c:v>
                </c:pt>
                <c:pt idx="18">
                  <c:v>75.002825195293099</c:v>
                </c:pt>
                <c:pt idx="19">
                  <c:v>73.106544019857694</c:v>
                </c:pt>
                <c:pt idx="20">
                  <c:v>69.624837580517394</c:v>
                </c:pt>
                <c:pt idx="21">
                  <c:v>67.911785689401896</c:v>
                </c:pt>
                <c:pt idx="22">
                  <c:v>64.831967676578302</c:v>
                </c:pt>
                <c:pt idx="23">
                  <c:v>68.031559306877696</c:v>
                </c:pt>
                <c:pt idx="24">
                  <c:v>72.934371347112304</c:v>
                </c:pt>
                <c:pt idx="25">
                  <c:v>79.200806783259793</c:v>
                </c:pt>
                <c:pt idx="26">
                  <c:v>80.271175053996203</c:v>
                </c:pt>
                <c:pt idx="27">
                  <c:v>79.622479924226198</c:v>
                </c:pt>
                <c:pt idx="28">
                  <c:v>82.3502365529245</c:v>
                </c:pt>
                <c:pt idx="29">
                  <c:v>87.419240194536002</c:v>
                </c:pt>
                <c:pt idx="30">
                  <c:v>93.003940027782903</c:v>
                </c:pt>
                <c:pt idx="31">
                  <c:v>90.829364015096203</c:v>
                </c:pt>
                <c:pt idx="32">
                  <c:v>97.937205309258502</c:v>
                </c:pt>
                <c:pt idx="33">
                  <c:v>105.615325778421</c:v>
                </c:pt>
                <c:pt idx="34">
                  <c:v>117.56062867909</c:v>
                </c:pt>
                <c:pt idx="35">
                  <c:v>117.092392973617</c:v>
                </c:pt>
                <c:pt idx="36">
                  <c:v>128.37429157027401</c:v>
                </c:pt>
                <c:pt idx="37">
                  <c:v>118.780166087271</c:v>
                </c:pt>
                <c:pt idx="38">
                  <c:v>112.205370657415</c:v>
                </c:pt>
                <c:pt idx="39">
                  <c:v>115.288947765983</c:v>
                </c:pt>
                <c:pt idx="40">
                  <c:v>110.05461239712299</c:v>
                </c:pt>
                <c:pt idx="41">
                  <c:v>110.69788194943</c:v>
                </c:pt>
                <c:pt idx="42">
                  <c:v>116.40045302376301</c:v>
                </c:pt>
                <c:pt idx="43">
                  <c:v>117.819892142941</c:v>
                </c:pt>
                <c:pt idx="44">
                  <c:v>109.82077229134001</c:v>
                </c:pt>
                <c:pt idx="45">
                  <c:v>104.224749513823</c:v>
                </c:pt>
                <c:pt idx="46">
                  <c:v>103.2257355767</c:v>
                </c:pt>
                <c:pt idx="47">
                  <c:v>103.34337853261999</c:v>
                </c:pt>
                <c:pt idx="48">
                  <c:v>98.771602812655004</c:v>
                </c:pt>
                <c:pt idx="49">
                  <c:v>99.400908922264307</c:v>
                </c:pt>
                <c:pt idx="50">
                  <c:v>100.665464165324</c:v>
                </c:pt>
                <c:pt idx="51">
                  <c:v>98.953865689769401</c:v>
                </c:pt>
                <c:pt idx="52">
                  <c:v>99.356385705247604</c:v>
                </c:pt>
                <c:pt idx="53">
                  <c:v>92.617301050403498</c:v>
                </c:pt>
                <c:pt idx="54">
                  <c:v>91.013476002061296</c:v>
                </c:pt>
                <c:pt idx="55">
                  <c:v>91.4351263145102</c:v>
                </c:pt>
                <c:pt idx="56">
                  <c:v>87.631081219752701</c:v>
                </c:pt>
                <c:pt idx="57">
                  <c:v>83.283679380658</c:v>
                </c:pt>
                <c:pt idx="58">
                  <c:v>90.454055591492505</c:v>
                </c:pt>
                <c:pt idx="59">
                  <c:v>93.566457507113199</c:v>
                </c:pt>
                <c:pt idx="60">
                  <c:v>98.189384323435704</c:v>
                </c:pt>
                <c:pt idx="61">
                  <c:v>98.620546517832494</c:v>
                </c:pt>
                <c:pt idx="62">
                  <c:v>101.683243143151</c:v>
                </c:pt>
                <c:pt idx="63">
                  <c:v>97.315249982018102</c:v>
                </c:pt>
                <c:pt idx="64">
                  <c:v>101.325786619586</c:v>
                </c:pt>
                <c:pt idx="65">
                  <c:v>97.694058778178302</c:v>
                </c:pt>
                <c:pt idx="66">
                  <c:v>99.214864120887995</c:v>
                </c:pt>
                <c:pt idx="67">
                  <c:v>106.597948840572</c:v>
                </c:pt>
                <c:pt idx="68">
                  <c:v>100.463606811399</c:v>
                </c:pt>
                <c:pt idx="69">
                  <c:v>100.195995719951</c:v>
                </c:pt>
                <c:pt idx="70">
                  <c:v>99.634893608653897</c:v>
                </c:pt>
                <c:pt idx="71">
                  <c:v>95.408368765340597</c:v>
                </c:pt>
                <c:pt idx="72">
                  <c:v>92.600156834382503</c:v>
                </c:pt>
                <c:pt idx="73">
                  <c:v>91.334718888678793</c:v>
                </c:pt>
                <c:pt idx="74">
                  <c:v>89.660543961456597</c:v>
                </c:pt>
                <c:pt idx="75">
                  <c:v>88.365915952434193</c:v>
                </c:pt>
                <c:pt idx="76">
                  <c:v>85.047448626314406</c:v>
                </c:pt>
                <c:pt idx="77">
                  <c:v>81.382528121665203</c:v>
                </c:pt>
                <c:pt idx="78">
                  <c:v>81.827790729859302</c:v>
                </c:pt>
                <c:pt idx="79">
                  <c:v>81.695849512997398</c:v>
                </c:pt>
                <c:pt idx="80">
                  <c:v>83.649262856158899</c:v>
                </c:pt>
                <c:pt idx="81">
                  <c:v>81.269123660340895</c:v>
                </c:pt>
                <c:pt idx="82">
                  <c:v>80.745209202703904</c:v>
                </c:pt>
                <c:pt idx="83">
                  <c:v>77.945946050281407</c:v>
                </c:pt>
                <c:pt idx="84">
                  <c:v>76.013824103669094</c:v>
                </c:pt>
                <c:pt idx="85">
                  <c:v>73.961374567576996</c:v>
                </c:pt>
                <c:pt idx="86">
                  <c:v>73.549241532905995</c:v>
                </c:pt>
                <c:pt idx="87">
                  <c:v>79.657424295647402</c:v>
                </c:pt>
                <c:pt idx="88">
                  <c:v>82.480145230802194</c:v>
                </c:pt>
                <c:pt idx="89">
                  <c:v>82.005831714936093</c:v>
                </c:pt>
                <c:pt idx="90">
                  <c:v>87.481576572290194</c:v>
                </c:pt>
                <c:pt idx="91">
                  <c:v>88.624018060794398</c:v>
                </c:pt>
                <c:pt idx="92">
                  <c:v>93.011157989690403</c:v>
                </c:pt>
                <c:pt idx="93">
                  <c:v>91.843282437104193</c:v>
                </c:pt>
                <c:pt idx="94">
                  <c:v>91.787084624424494</c:v>
                </c:pt>
                <c:pt idx="95">
                  <c:v>96.917642126186806</c:v>
                </c:pt>
                <c:pt idx="96">
                  <c:v>104.71692624568099</c:v>
                </c:pt>
                <c:pt idx="97">
                  <c:v>104.690432991132</c:v>
                </c:pt>
                <c:pt idx="98">
                  <c:v>98.470128508335506</c:v>
                </c:pt>
                <c:pt idx="99">
                  <c:v>90.933888487814798</c:v>
                </c:pt>
                <c:pt idx="100">
                  <c:v>91.514883527347195</c:v>
                </c:pt>
                <c:pt idx="101">
                  <c:v>94.089872642831594</c:v>
                </c:pt>
                <c:pt idx="102">
                  <c:v>97.518627352796003</c:v>
                </c:pt>
                <c:pt idx="103">
                  <c:v>95.396585743748105</c:v>
                </c:pt>
                <c:pt idx="104">
                  <c:v>99.883280190203607</c:v>
                </c:pt>
                <c:pt idx="105">
                  <c:v>93.583242277762594</c:v>
                </c:pt>
                <c:pt idx="106">
                  <c:v>91.981746291539906</c:v>
                </c:pt>
                <c:pt idx="107">
                  <c:v>97.810290627387403</c:v>
                </c:pt>
                <c:pt idx="108">
                  <c:v>100.97840217593</c:v>
                </c:pt>
                <c:pt idx="109">
                  <c:v>100.177540842692</c:v>
                </c:pt>
                <c:pt idx="110">
                  <c:v>94.264416437508402</c:v>
                </c:pt>
                <c:pt idx="111">
                  <c:v>93.473396805246907</c:v>
                </c:pt>
                <c:pt idx="112">
                  <c:v>96.148102352757107</c:v>
                </c:pt>
                <c:pt idx="113">
                  <c:v>91.687439763285596</c:v>
                </c:pt>
                <c:pt idx="114">
                  <c:v>88.432783583215794</c:v>
                </c:pt>
                <c:pt idx="115">
                  <c:v>85.890847898075705</c:v>
                </c:pt>
                <c:pt idx="116">
                  <c:v>83.905383898595204</c:v>
                </c:pt>
                <c:pt idx="117">
                  <c:v>80.011525953637104</c:v>
                </c:pt>
                <c:pt idx="118">
                  <c:v>83.185985781217198</c:v>
                </c:pt>
                <c:pt idx="119">
                  <c:v>84.075472426243806</c:v>
                </c:pt>
                <c:pt idx="120">
                  <c:v>85.486790347411997</c:v>
                </c:pt>
                <c:pt idx="121">
                  <c:v>85.469109287691197</c:v>
                </c:pt>
                <c:pt idx="122">
                  <c:v>87.582647630019295</c:v>
                </c:pt>
                <c:pt idx="123">
                  <c:v>85.425829550847595</c:v>
                </c:pt>
                <c:pt idx="124">
                  <c:v>83.807656374594998</c:v>
                </c:pt>
                <c:pt idx="125">
                  <c:v>84.587247544109402</c:v>
                </c:pt>
                <c:pt idx="126">
                  <c:v>83.398597074873706</c:v>
                </c:pt>
                <c:pt idx="127">
                  <c:v>80.624094138104994</c:v>
                </c:pt>
                <c:pt idx="128">
                  <c:v>81.144163403877002</c:v>
                </c:pt>
                <c:pt idx="129">
                  <c:v>81.752627408612497</c:v>
                </c:pt>
                <c:pt idx="130">
                  <c:v>85.605419679724804</c:v>
                </c:pt>
                <c:pt idx="131">
                  <c:v>85.767199217307393</c:v>
                </c:pt>
                <c:pt idx="132">
                  <c:v>85.979536546994595</c:v>
                </c:pt>
                <c:pt idx="133">
                  <c:v>88.614326130698501</c:v>
                </c:pt>
                <c:pt idx="134">
                  <c:v>86.431831115745595</c:v>
                </c:pt>
                <c:pt idx="135">
                  <c:v>83.175728499776497</c:v>
                </c:pt>
                <c:pt idx="136">
                  <c:v>87.296676323562096</c:v>
                </c:pt>
                <c:pt idx="137">
                  <c:v>87.927475519622007</c:v>
                </c:pt>
                <c:pt idx="138">
                  <c:v>89.820263843780694</c:v>
                </c:pt>
                <c:pt idx="139">
                  <c:v>90.8391361421331</c:v>
                </c:pt>
                <c:pt idx="140">
                  <c:v>88.305275941000403</c:v>
                </c:pt>
                <c:pt idx="141">
                  <c:v>92.085809774997799</c:v>
                </c:pt>
                <c:pt idx="142">
                  <c:v>94.227779241645095</c:v>
                </c:pt>
                <c:pt idx="143">
                  <c:v>97.107351115509005</c:v>
                </c:pt>
                <c:pt idx="144">
                  <c:v>100.293665897926</c:v>
                </c:pt>
                <c:pt idx="145">
                  <c:v>105.051987994391</c:v>
                </c:pt>
                <c:pt idx="146">
                  <c:v>103.31461321205001</c:v>
                </c:pt>
                <c:pt idx="147">
                  <c:v>107.947856559288</c:v>
                </c:pt>
                <c:pt idx="148">
                  <c:v>101.313322249482</c:v>
                </c:pt>
                <c:pt idx="149">
                  <c:v>104.85279272221899</c:v>
                </c:pt>
                <c:pt idx="150">
                  <c:v>106.46179749181699</c:v>
                </c:pt>
                <c:pt idx="151">
                  <c:v>105.478774288263</c:v>
                </c:pt>
                <c:pt idx="152">
                  <c:v>107.90546735201001</c:v>
                </c:pt>
                <c:pt idx="153">
                  <c:v>114.099100474344</c:v>
                </c:pt>
                <c:pt idx="154">
                  <c:v>113.287706605073</c:v>
                </c:pt>
                <c:pt idx="155">
                  <c:v>115.50494981378201</c:v>
                </c:pt>
                <c:pt idx="156">
                  <c:v>114.461768639559</c:v>
                </c:pt>
                <c:pt idx="157">
                  <c:v>117.366676079538</c:v>
                </c:pt>
                <c:pt idx="158">
                  <c:v>123.8949256858</c:v>
                </c:pt>
                <c:pt idx="159">
                  <c:v>117.940993437958</c:v>
                </c:pt>
                <c:pt idx="160">
                  <c:v>108.556889728572</c:v>
                </c:pt>
                <c:pt idx="161">
                  <c:v>107.96426254258699</c:v>
                </c:pt>
                <c:pt idx="162">
                  <c:v>111.163321342789</c:v>
                </c:pt>
                <c:pt idx="163">
                  <c:v>116.64965810481399</c:v>
                </c:pt>
                <c:pt idx="164">
                  <c:v>114.55640764511401</c:v>
                </c:pt>
                <c:pt idx="165">
                  <c:v>120.56879776172801</c:v>
                </c:pt>
                <c:pt idx="166">
                  <c:v>128.22551024090299</c:v>
                </c:pt>
                <c:pt idx="167">
                  <c:v>140.31450979932899</c:v>
                </c:pt>
                <c:pt idx="168">
                  <c:v>148.568086226357</c:v>
                </c:pt>
                <c:pt idx="169">
                  <c:v>152.93620795189901</c:v>
                </c:pt>
                <c:pt idx="170">
                  <c:v>151.633566471828</c:v>
                </c:pt>
                <c:pt idx="171">
                  <c:v>163.56363935517001</c:v>
                </c:pt>
                <c:pt idx="172">
                  <c:v>177.78977494010101</c:v>
                </c:pt>
                <c:pt idx="173">
                  <c:v>155.278806689709</c:v>
                </c:pt>
                <c:pt idx="174">
                  <c:v>156.580329141357</c:v>
                </c:pt>
                <c:pt idx="175">
                  <c:v>153.44595517044399</c:v>
                </c:pt>
                <c:pt idx="176">
                  <c:v>154.86902816123501</c:v>
                </c:pt>
                <c:pt idx="177">
                  <c:v>165.63880261969601</c:v>
                </c:pt>
                <c:pt idx="178">
                  <c:v>168.44326237264099</c:v>
                </c:pt>
                <c:pt idx="179">
                  <c:v>176.01937873053299</c:v>
                </c:pt>
                <c:pt idx="180">
                  <c:v>174.48514116143099</c:v>
                </c:pt>
                <c:pt idx="181">
                  <c:v>176.97805724189701</c:v>
                </c:pt>
                <c:pt idx="182">
                  <c:v>171.86825931769999</c:v>
                </c:pt>
                <c:pt idx="183">
                  <c:v>175.60680575721301</c:v>
                </c:pt>
                <c:pt idx="184">
                  <c:v>174.830842039864</c:v>
                </c:pt>
                <c:pt idx="185">
                  <c:v>167.14497821031901</c:v>
                </c:pt>
                <c:pt idx="186">
                  <c:v>170.684563372469</c:v>
                </c:pt>
                <c:pt idx="187">
                  <c:v>156.62826256982001</c:v>
                </c:pt>
                <c:pt idx="188">
                  <c:v>149.29494387812699</c:v>
                </c:pt>
                <c:pt idx="189">
                  <c:v>152.38499919037099</c:v>
                </c:pt>
                <c:pt idx="190">
                  <c:v>156.28852554089499</c:v>
                </c:pt>
                <c:pt idx="191">
                  <c:v>148.53884717231699</c:v>
                </c:pt>
                <c:pt idx="192">
                  <c:v>153.107634893099</c:v>
                </c:pt>
                <c:pt idx="193">
                  <c:v>173.602059662203</c:v>
                </c:pt>
                <c:pt idx="194">
                  <c:v>187.76253431506501</c:v>
                </c:pt>
                <c:pt idx="195">
                  <c:v>185.018547484831</c:v>
                </c:pt>
                <c:pt idx="196">
                  <c:v>181.29349672260801</c:v>
                </c:pt>
                <c:pt idx="197">
                  <c:v>185.00825916978499</c:v>
                </c:pt>
                <c:pt idx="198">
                  <c:v>191.216250468071</c:v>
                </c:pt>
                <c:pt idx="199">
                  <c:v>172.209894793742</c:v>
                </c:pt>
                <c:pt idx="200">
                  <c:v>157.347972372546</c:v>
                </c:pt>
                <c:pt idx="201">
                  <c:v>132.281023237032</c:v>
                </c:pt>
                <c:pt idx="202">
                  <c:v>115.768041931507</c:v>
                </c:pt>
                <c:pt idx="203">
                  <c:v>93.780926348249196</c:v>
                </c:pt>
                <c:pt idx="204">
                  <c:v>88.541050389684997</c:v>
                </c:pt>
                <c:pt idx="205">
                  <c:v>83.410895094568801</c:v>
                </c:pt>
                <c:pt idx="206">
                  <c:v>83.411957658253897</c:v>
                </c:pt>
                <c:pt idx="207">
                  <c:v>89.254995362766905</c:v>
                </c:pt>
                <c:pt idx="208">
                  <c:v>91.427975381787704</c:v>
                </c:pt>
                <c:pt idx="209">
                  <c:v>98.469335127450606</c:v>
                </c:pt>
                <c:pt idx="210">
                  <c:v>104.13759804518099</c:v>
                </c:pt>
                <c:pt idx="211">
                  <c:v>120.163272861213</c:v>
                </c:pt>
                <c:pt idx="212">
                  <c:v>114.425783149423</c:v>
                </c:pt>
                <c:pt idx="213">
                  <c:v>116.923374510103</c:v>
                </c:pt>
                <c:pt idx="214">
                  <c:v>121.96544496233101</c:v>
                </c:pt>
                <c:pt idx="215">
                  <c:v>135.97317817152501</c:v>
                </c:pt>
                <c:pt idx="216">
                  <c:v>139.01867796652701</c:v>
                </c:pt>
                <c:pt idx="217">
                  <c:v>127.99483474861999</c:v>
                </c:pt>
                <c:pt idx="218">
                  <c:v>137.79798940558001</c:v>
                </c:pt>
                <c:pt idx="219">
                  <c:v>144.26527742330501</c:v>
                </c:pt>
                <c:pt idx="220">
                  <c:v>127.461262242449</c:v>
                </c:pt>
                <c:pt idx="221">
                  <c:v>120.273708646887</c:v>
                </c:pt>
                <c:pt idx="222">
                  <c:v>123.99126479325101</c:v>
                </c:pt>
                <c:pt idx="223">
                  <c:v>131.55867469782299</c:v>
                </c:pt>
                <c:pt idx="224">
                  <c:v>135.348937185994</c:v>
                </c:pt>
                <c:pt idx="225">
                  <c:v>146.00454845283801</c:v>
                </c:pt>
                <c:pt idx="226">
                  <c:v>144.874183084946</c:v>
                </c:pt>
                <c:pt idx="227">
                  <c:v>146.90784227461</c:v>
                </c:pt>
                <c:pt idx="228">
                  <c:v>152.08374852611101</c:v>
                </c:pt>
                <c:pt idx="229">
                  <c:v>156.79393749960499</c:v>
                </c:pt>
                <c:pt idx="230">
                  <c:v>159.30238117738901</c:v>
                </c:pt>
                <c:pt idx="231">
                  <c:v>166.27893820866899</c:v>
                </c:pt>
                <c:pt idx="232">
                  <c:v>161.279245494778</c:v>
                </c:pt>
                <c:pt idx="233">
                  <c:v>159.44334795961601</c:v>
                </c:pt>
                <c:pt idx="234">
                  <c:v>157.42781644374301</c:v>
                </c:pt>
                <c:pt idx="235">
                  <c:v>148.423004118112</c:v>
                </c:pt>
                <c:pt idx="236">
                  <c:v>142.96766048351199</c:v>
                </c:pt>
                <c:pt idx="237">
                  <c:v>135.935182243432</c:v>
                </c:pt>
                <c:pt idx="238">
                  <c:v>129.65997121582399</c:v>
                </c:pt>
                <c:pt idx="239">
                  <c:v>126.193605124624</c:v>
                </c:pt>
                <c:pt idx="240">
                  <c:v>134.10781557671299</c:v>
                </c:pt>
                <c:pt idx="241">
                  <c:v>137.635054760808</c:v>
                </c:pt>
                <c:pt idx="242">
                  <c:v>136.15407710900399</c:v>
                </c:pt>
                <c:pt idx="243">
                  <c:v>127.697815016814</c:v>
                </c:pt>
                <c:pt idx="244">
                  <c:v>124.83139848029199</c:v>
                </c:pt>
                <c:pt idx="245">
                  <c:v>117.537364818599</c:v>
                </c:pt>
                <c:pt idx="246">
                  <c:v>116.95992670087099</c:v>
                </c:pt>
                <c:pt idx="247">
                  <c:v>114.907620361838</c:v>
                </c:pt>
                <c:pt idx="248">
                  <c:v>128.67119195299301</c:v>
                </c:pt>
                <c:pt idx="249">
                  <c:v>123.07234739877499</c:v>
                </c:pt>
                <c:pt idx="250">
                  <c:v>121.484322872142</c:v>
                </c:pt>
                <c:pt idx="251">
                  <c:v>130.08270006099801</c:v>
                </c:pt>
                <c:pt idx="252">
                  <c:v>127.018437894599</c:v>
                </c:pt>
                <c:pt idx="253">
                  <c:v>128.01509429621601</c:v>
                </c:pt>
                <c:pt idx="254">
                  <c:v>119.14375008909199</c:v>
                </c:pt>
                <c:pt idx="255">
                  <c:v>116.010770606519</c:v>
                </c:pt>
                <c:pt idx="256">
                  <c:v>114.237132556869</c:v>
                </c:pt>
                <c:pt idx="257">
                  <c:v>113.112950297659</c:v>
                </c:pt>
                <c:pt idx="258">
                  <c:v>110.312220297243</c:v>
                </c:pt>
                <c:pt idx="259">
                  <c:v>113.21881199966001</c:v>
                </c:pt>
                <c:pt idx="260">
                  <c:v>109.79457740188001</c:v>
                </c:pt>
                <c:pt idx="261">
                  <c:v>113.115762241556</c:v>
                </c:pt>
                <c:pt idx="262">
                  <c:v>108.96297121006501</c:v>
                </c:pt>
                <c:pt idx="263">
                  <c:v>108.454656934547</c:v>
                </c:pt>
                <c:pt idx="264">
                  <c:v>107.68176227750099</c:v>
                </c:pt>
                <c:pt idx="265">
                  <c:v>105.67161846549401</c:v>
                </c:pt>
                <c:pt idx="266">
                  <c:v>106.30756046979</c:v>
                </c:pt>
                <c:pt idx="267">
                  <c:v>112.872173366609</c:v>
                </c:pt>
                <c:pt idx="268">
                  <c:v>109.155325596035</c:v>
                </c:pt>
                <c:pt idx="269">
                  <c:v>114.63490242909199</c:v>
                </c:pt>
                <c:pt idx="270">
                  <c:v>121.451583591061</c:v>
                </c:pt>
                <c:pt idx="271">
                  <c:v>126.57495214745801</c:v>
                </c:pt>
                <c:pt idx="272">
                  <c:v>124.077686639642</c:v>
                </c:pt>
                <c:pt idx="273">
                  <c:v>121.319727137474</c:v>
                </c:pt>
                <c:pt idx="274">
                  <c:v>128.13727495249</c:v>
                </c:pt>
                <c:pt idx="275">
                  <c:v>119.03011109555899</c:v>
                </c:pt>
                <c:pt idx="276">
                  <c:v>113.12426744421001</c:v>
                </c:pt>
                <c:pt idx="277">
                  <c:v>113.317571728383</c:v>
                </c:pt>
                <c:pt idx="278">
                  <c:v>110.577460832209</c:v>
                </c:pt>
                <c:pt idx="279">
                  <c:v>113.402817670961</c:v>
                </c:pt>
                <c:pt idx="280">
                  <c:v>112.45853410130999</c:v>
                </c:pt>
                <c:pt idx="281">
                  <c:v>105.207972343368</c:v>
                </c:pt>
                <c:pt idx="282">
                  <c:v>102.20162549024801</c:v>
                </c:pt>
                <c:pt idx="283">
                  <c:v>96.505575762177997</c:v>
                </c:pt>
                <c:pt idx="284">
                  <c:v>99.091147395986795</c:v>
                </c:pt>
                <c:pt idx="285">
                  <c:v>94.533457562582399</c:v>
                </c:pt>
                <c:pt idx="286">
                  <c:v>91.504139094556294</c:v>
                </c:pt>
                <c:pt idx="287">
                  <c:v>93.331208918086901</c:v>
                </c:pt>
                <c:pt idx="288">
                  <c:v>92.327433677100899</c:v>
                </c:pt>
                <c:pt idx="289">
                  <c:v>95.454379821872905</c:v>
                </c:pt>
                <c:pt idx="290">
                  <c:v>95.438795554490994</c:v>
                </c:pt>
                <c:pt idx="291">
                  <c:v>97.945636279059002</c:v>
                </c:pt>
                <c:pt idx="292">
                  <c:v>96.661418435996595</c:v>
                </c:pt>
                <c:pt idx="293">
                  <c:v>99.334545317459899</c:v>
                </c:pt>
                <c:pt idx="294">
                  <c:v>101.550054692092</c:v>
                </c:pt>
                <c:pt idx="295">
                  <c:v>102.188166350237</c:v>
                </c:pt>
                <c:pt idx="296">
                  <c:v>99.2632827129774</c:v>
                </c:pt>
                <c:pt idx="297">
                  <c:v>103.847620968961</c:v>
                </c:pt>
                <c:pt idx="298">
                  <c:v>108.28657352707501</c:v>
                </c:pt>
                <c:pt idx="299">
                  <c:v>107.70209266267599</c:v>
                </c:pt>
                <c:pt idx="300">
                  <c:v>111.660533683068</c:v>
                </c:pt>
                <c:pt idx="301">
                  <c:v>115.993702123196</c:v>
                </c:pt>
                <c:pt idx="302">
                  <c:v>118.531904975911</c:v>
                </c:pt>
                <c:pt idx="303">
                  <c:v>119.763363244342</c:v>
                </c:pt>
                <c:pt idx="304">
                  <c:v>119.25229822194601</c:v>
                </c:pt>
                <c:pt idx="305">
                  <c:v>117.523227129147</c:v>
                </c:pt>
                <c:pt idx="306">
                  <c:v>118.625216986819</c:v>
                </c:pt>
                <c:pt idx="307">
                  <c:v>126.544959516506</c:v>
                </c:pt>
                <c:pt idx="308">
                  <c:v>130.68892415632101</c:v>
                </c:pt>
                <c:pt idx="309">
                  <c:v>132.87075532196201</c:v>
                </c:pt>
                <c:pt idx="310">
                  <c:v>130.74831977970999</c:v>
                </c:pt>
                <c:pt idx="311">
                  <c:v>129.690632702654</c:v>
                </c:pt>
                <c:pt idx="312">
                  <c:v>137.74792263669499</c:v>
                </c:pt>
                <c:pt idx="313">
                  <c:v>136.00623908161401</c:v>
                </c:pt>
                <c:pt idx="314">
                  <c:v>128.99023901169801</c:v>
                </c:pt>
                <c:pt idx="315">
                  <c:v>140.55061145016401</c:v>
                </c:pt>
                <c:pt idx="316">
                  <c:v>143.35448088995099</c:v>
                </c:pt>
                <c:pt idx="317">
                  <c:v>139.48661414736699</c:v>
                </c:pt>
                <c:pt idx="318">
                  <c:v>129.800654647735</c:v>
                </c:pt>
                <c:pt idx="319">
                  <c:v>127.885206511346</c:v>
                </c:pt>
                <c:pt idx="320">
                  <c:v>126.323733757263</c:v>
                </c:pt>
                <c:pt idx="321">
                  <c:v>126.53544264176099</c:v>
                </c:pt>
                <c:pt idx="322">
                  <c:v>120.84111765474501</c:v>
                </c:pt>
                <c:pt idx="323">
                  <c:v>119.710960006069</c:v>
                </c:pt>
                <c:pt idx="324">
                  <c:v>115.555217509134</c:v>
                </c:pt>
                <c:pt idx="325">
                  <c:v>116.133181316264</c:v>
                </c:pt>
                <c:pt idx="326">
                  <c:v>116.646015029322</c:v>
                </c:pt>
                <c:pt idx="327">
                  <c:v>115.03838653268799</c:v>
                </c:pt>
                <c:pt idx="328">
                  <c:v>111.038647203734</c:v>
                </c:pt>
                <c:pt idx="329">
                  <c:v>109.46077723672001</c:v>
                </c:pt>
                <c:pt idx="330">
                  <c:v>112.019036363979</c:v>
                </c:pt>
                <c:pt idx="331">
                  <c:v>108.508801132079</c:v>
                </c:pt>
                <c:pt idx="332">
                  <c:v>109.308793524348</c:v>
                </c:pt>
                <c:pt idx="333">
                  <c:v>107.59107169700199</c:v>
                </c:pt>
                <c:pt idx="334">
                  <c:v>110.634940467747</c:v>
                </c:pt>
                <c:pt idx="335">
                  <c:v>110.422638219528</c:v>
                </c:pt>
                <c:pt idx="336">
                  <c:v>110.529291278483</c:v>
                </c:pt>
                <c:pt idx="337">
                  <c:v>105.23089538393501</c:v>
                </c:pt>
                <c:pt idx="338">
                  <c:v>100.418218601131</c:v>
                </c:pt>
                <c:pt idx="339">
                  <c:v>91.008038432017699</c:v>
                </c:pt>
                <c:pt idx="340">
                  <c:v>91.409307069913496</c:v>
                </c:pt>
                <c:pt idx="341">
                  <c:v>97.780085483698201</c:v>
                </c:pt>
                <c:pt idx="342">
                  <c:v>102.47043377528</c:v>
                </c:pt>
                <c:pt idx="343">
                  <c:v>108.376438754449</c:v>
                </c:pt>
                <c:pt idx="344">
                  <c:v>108.701795080191</c:v>
                </c:pt>
                <c:pt idx="345">
                  <c:v>112.587094613647</c:v>
                </c:pt>
                <c:pt idx="346">
                  <c:v>120.639891705308</c:v>
                </c:pt>
                <c:pt idx="347">
                  <c:v>125.58874260213599</c:v>
                </c:pt>
                <c:pt idx="348">
                  <c:v>124.921960074799</c:v>
                </c:pt>
                <c:pt idx="349">
                  <c:v>129.57342752879799</c:v>
                </c:pt>
                <c:pt idx="350">
                  <c:v>136.54826667692299</c:v>
                </c:pt>
                <c:pt idx="351">
                  <c:v>144.58413153393801</c:v>
                </c:pt>
                <c:pt idx="352">
                  <c:v>151.776831964293</c:v>
                </c:pt>
                <c:pt idx="353">
                  <c:v>152.516707809011</c:v>
                </c:pt>
                <c:pt idx="354">
                  <c:v>155.69527498421499</c:v>
                </c:pt>
                <c:pt idx="355">
                  <c:v>162.262887346523</c:v>
                </c:pt>
                <c:pt idx="356">
                  <c:v>176.69796545449699</c:v>
                </c:pt>
                <c:pt idx="357">
                  <c:v>182.92151092519401</c:v>
                </c:pt>
                <c:pt idx="358">
                  <c:v>164.34870863079399</c:v>
                </c:pt>
                <c:pt idx="359">
                  <c:v>168.03153007627401</c:v>
                </c:pt>
                <c:pt idx="360">
                  <c:v>187.38401542664801</c:v>
                </c:pt>
                <c:pt idx="361">
                  <c:v>202.332756384677</c:v>
                </c:pt>
                <c:pt idx="362">
                  <c:v>218.078323644249</c:v>
                </c:pt>
                <c:pt idx="363">
                  <c:v>202.40787106924199</c:v>
                </c:pt>
                <c:pt idx="364">
                  <c:v>177.00644894356299</c:v>
                </c:pt>
                <c:pt idx="365">
                  <c:v>160.559691534726</c:v>
                </c:pt>
                <c:pt idx="366">
                  <c:v>150.13405278152399</c:v>
                </c:pt>
                <c:pt idx="367">
                  <c:v>151.72319633657901</c:v>
                </c:pt>
                <c:pt idx="368">
                  <c:v>138.68476378659699</c:v>
                </c:pt>
                <c:pt idx="369">
                  <c:v>140.60345695874801</c:v>
                </c:pt>
                <c:pt idx="370">
                  <c:v>146.536769399306</c:v>
                </c:pt>
                <c:pt idx="371">
                  <c:v>149.497185166196</c:v>
                </c:pt>
                <c:pt idx="372">
                  <c:v>155.524811434089</c:v>
                </c:pt>
                <c:pt idx="373">
                  <c:v>150.61767415643001</c:v>
                </c:pt>
                <c:pt idx="374">
                  <c:v>143.15190348270301</c:v>
                </c:pt>
                <c:pt idx="375">
                  <c:v>145.75223471127799</c:v>
                </c:pt>
                <c:pt idx="376">
                  <c:v>141.75528209455101</c:v>
                </c:pt>
                <c:pt idx="377">
                  <c:v>136.191139330341</c:v>
                </c:pt>
                <c:pt idx="378">
                  <c:v>134.63138759210599</c:v>
                </c:pt>
                <c:pt idx="379">
                  <c:v>133.12590735371899</c:v>
                </c:pt>
                <c:pt idx="380">
                  <c:v>136.18616315907701</c:v>
                </c:pt>
                <c:pt idx="381">
                  <c:v>136.79189867039599</c:v>
                </c:pt>
                <c:pt idx="382">
                  <c:v>137.28215138719801</c:v>
                </c:pt>
                <c:pt idx="383">
                  <c:v>136.64318293167</c:v>
                </c:pt>
                <c:pt idx="384">
                  <c:v>137.23920533495101</c:v>
                </c:pt>
                <c:pt idx="385">
                  <c:v>135.860971446375</c:v>
                </c:pt>
                <c:pt idx="386">
                  <c:v>138.976875024545</c:v>
                </c:pt>
                <c:pt idx="387">
                  <c:v>155.79456093495301</c:v>
                </c:pt>
                <c:pt idx="388">
                  <c:v>159.976786960455</c:v>
                </c:pt>
                <c:pt idx="389">
                  <c:v>155.69340770563301</c:v>
                </c:pt>
                <c:pt idx="390">
                  <c:v>146.437582005199</c:v>
                </c:pt>
                <c:pt idx="391">
                  <c:v>146.64591594104201</c:v>
                </c:pt>
                <c:pt idx="392">
                  <c:v>153.19198288503401</c:v>
                </c:pt>
                <c:pt idx="393">
                  <c:v>161.801040645565</c:v>
                </c:pt>
                <c:pt idx="394">
                  <c:v>160.96606851012001</c:v>
                </c:pt>
                <c:pt idx="395">
                  <c:v>158.39115489605601</c:v>
                </c:pt>
                <c:pt idx="396">
                  <c:v>160.29169757386401</c:v>
                </c:pt>
                <c:pt idx="397">
                  <c:v>165.55307498158001</c:v>
                </c:pt>
                <c:pt idx="398">
                  <c:v>165.29288450601999</c:v>
                </c:pt>
                <c:pt idx="399">
                  <c:v>147.601741562119</c:v>
                </c:pt>
                <c:pt idx="400">
                  <c:v>152.56025875258501</c:v>
                </c:pt>
                <c:pt idx="401">
                  <c:v>157.46088477491099</c:v>
                </c:pt>
                <c:pt idx="402">
                  <c:v>162.47352211039799</c:v>
                </c:pt>
                <c:pt idx="403">
                  <c:v>161.997568904887</c:v>
                </c:pt>
                <c:pt idx="404">
                  <c:v>165.472447649153</c:v>
                </c:pt>
                <c:pt idx="405">
                  <c:v>174.112855804899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5-4071-853E-D1341E585CC1}"/>
            </c:ext>
          </c:extLst>
        </c:ser>
        <c:ser>
          <c:idx val="2"/>
          <c:order val="2"/>
          <c:tx>
            <c:strRef>
              <c:f>'dataset_2025-11-17T12_56_18.236'!$G$1</c:f>
              <c:strCache>
                <c:ptCount val="1"/>
                <c:pt idx="0">
                  <c:v>ft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'dataset_2025-11-17T12_56_18.236'!$G$2:$G$407</c:f>
              <c:numCache>
                <c:formatCode>General</c:formatCode>
                <c:ptCount val="406"/>
                <c:pt idx="0">
                  <c:v>1371.6216928701874</c:v>
                </c:pt>
                <c:pt idx="1">
                  <c:v>1374.1207320809294</c:v>
                </c:pt>
                <c:pt idx="2">
                  <c:v>1376.6197712916714</c:v>
                </c:pt>
                <c:pt idx="3">
                  <c:v>1379.1188105024135</c:v>
                </c:pt>
                <c:pt idx="4">
                  <c:v>1381.6178497131557</c:v>
                </c:pt>
                <c:pt idx="5">
                  <c:v>1384.1168889238977</c:v>
                </c:pt>
                <c:pt idx="6">
                  <c:v>1386.6159281346397</c:v>
                </c:pt>
                <c:pt idx="7">
                  <c:v>1389.1149673453817</c:v>
                </c:pt>
                <c:pt idx="8">
                  <c:v>1391.6140065561237</c:v>
                </c:pt>
                <c:pt idx="9">
                  <c:v>1394.1130457668658</c:v>
                </c:pt>
                <c:pt idx="10">
                  <c:v>1396.6120849776078</c:v>
                </c:pt>
                <c:pt idx="11">
                  <c:v>1399.1111241883498</c:v>
                </c:pt>
                <c:pt idx="12">
                  <c:v>1401.610163399092</c:v>
                </c:pt>
                <c:pt idx="13">
                  <c:v>1404.109202609834</c:v>
                </c:pt>
                <c:pt idx="14">
                  <c:v>1406.608241820576</c:v>
                </c:pt>
                <c:pt idx="15">
                  <c:v>1409.1072810313181</c:v>
                </c:pt>
                <c:pt idx="16">
                  <c:v>1411.6063202420601</c:v>
                </c:pt>
                <c:pt idx="17">
                  <c:v>1414.1053594528021</c:v>
                </c:pt>
                <c:pt idx="18">
                  <c:v>1416.6043986635441</c:v>
                </c:pt>
                <c:pt idx="19">
                  <c:v>1419.1034378742861</c:v>
                </c:pt>
                <c:pt idx="20">
                  <c:v>1421.6024770850281</c:v>
                </c:pt>
                <c:pt idx="21">
                  <c:v>1424.1015162957704</c:v>
                </c:pt>
                <c:pt idx="22">
                  <c:v>1426.6005555065124</c:v>
                </c:pt>
                <c:pt idx="23">
                  <c:v>1429.0995947172544</c:v>
                </c:pt>
                <c:pt idx="24">
                  <c:v>1431.5986339279964</c:v>
                </c:pt>
                <c:pt idx="25">
                  <c:v>1434.0976731387384</c:v>
                </c:pt>
                <c:pt idx="26">
                  <c:v>1436.5967123494804</c:v>
                </c:pt>
                <c:pt idx="27">
                  <c:v>1439.0957515602224</c:v>
                </c:pt>
                <c:pt idx="28">
                  <c:v>1441.5947907709644</c:v>
                </c:pt>
                <c:pt idx="29">
                  <c:v>1444.0938299817067</c:v>
                </c:pt>
                <c:pt idx="30">
                  <c:v>1446.5928691924487</c:v>
                </c:pt>
                <c:pt idx="31">
                  <c:v>1449.0919084031907</c:v>
                </c:pt>
                <c:pt idx="32">
                  <c:v>1451.5909476139327</c:v>
                </c:pt>
                <c:pt idx="33">
                  <c:v>1454.0899868246747</c:v>
                </c:pt>
                <c:pt idx="34">
                  <c:v>1456.5890260354167</c:v>
                </c:pt>
                <c:pt idx="35">
                  <c:v>1459.0880652461587</c:v>
                </c:pt>
                <c:pt idx="36">
                  <c:v>1461.5871044569008</c:v>
                </c:pt>
                <c:pt idx="37">
                  <c:v>1464.0861436676428</c:v>
                </c:pt>
                <c:pt idx="38">
                  <c:v>1466.585182878385</c:v>
                </c:pt>
                <c:pt idx="39">
                  <c:v>1469.084222089127</c:v>
                </c:pt>
                <c:pt idx="40">
                  <c:v>1471.583261299869</c:v>
                </c:pt>
                <c:pt idx="41">
                  <c:v>1474.082300510611</c:v>
                </c:pt>
                <c:pt idx="42">
                  <c:v>1476.5813397213531</c:v>
                </c:pt>
                <c:pt idx="43">
                  <c:v>1479.0803789320951</c:v>
                </c:pt>
                <c:pt idx="44">
                  <c:v>1481.5794181428371</c:v>
                </c:pt>
                <c:pt idx="45">
                  <c:v>1484.0784573535791</c:v>
                </c:pt>
                <c:pt idx="46">
                  <c:v>1486.5774965643213</c:v>
                </c:pt>
                <c:pt idx="47">
                  <c:v>1489.0765357750633</c:v>
                </c:pt>
                <c:pt idx="48">
                  <c:v>1491.5755749858054</c:v>
                </c:pt>
                <c:pt idx="49">
                  <c:v>1494.0746141965474</c:v>
                </c:pt>
                <c:pt idx="50">
                  <c:v>1496.5736534072894</c:v>
                </c:pt>
                <c:pt idx="51">
                  <c:v>1499.0726926180314</c:v>
                </c:pt>
                <c:pt idx="52">
                  <c:v>1501.5717318287734</c:v>
                </c:pt>
                <c:pt idx="53">
                  <c:v>1504.0707710395154</c:v>
                </c:pt>
                <c:pt idx="54">
                  <c:v>1506.5698102502574</c:v>
                </c:pt>
                <c:pt idx="55">
                  <c:v>1509.0688494609994</c:v>
                </c:pt>
                <c:pt idx="56">
                  <c:v>1511.5678886717417</c:v>
                </c:pt>
                <c:pt idx="57">
                  <c:v>1514.0669278824837</c:v>
                </c:pt>
                <c:pt idx="58">
                  <c:v>1516.5659670932257</c:v>
                </c:pt>
                <c:pt idx="59">
                  <c:v>1519.0650063039677</c:v>
                </c:pt>
                <c:pt idx="60">
                  <c:v>1521.5640455147097</c:v>
                </c:pt>
                <c:pt idx="61">
                  <c:v>1524.0630847254517</c:v>
                </c:pt>
                <c:pt idx="62">
                  <c:v>1526.5621239361938</c:v>
                </c:pt>
                <c:pt idx="63">
                  <c:v>1529.061163146936</c:v>
                </c:pt>
                <c:pt idx="64">
                  <c:v>1531.560202357678</c:v>
                </c:pt>
                <c:pt idx="65">
                  <c:v>1534.05924156842</c:v>
                </c:pt>
                <c:pt idx="66">
                  <c:v>1536.558280779162</c:v>
                </c:pt>
                <c:pt idx="67">
                  <c:v>1539.057319989904</c:v>
                </c:pt>
                <c:pt idx="68">
                  <c:v>1541.5563592006461</c:v>
                </c:pt>
                <c:pt idx="69">
                  <c:v>1544.0553984113881</c:v>
                </c:pt>
                <c:pt idx="70">
                  <c:v>1546.5544376221301</c:v>
                </c:pt>
                <c:pt idx="71">
                  <c:v>1549.0534768328721</c:v>
                </c:pt>
                <c:pt idx="72">
                  <c:v>1551.5525160436141</c:v>
                </c:pt>
                <c:pt idx="73">
                  <c:v>1554.0515552543563</c:v>
                </c:pt>
                <c:pt idx="74">
                  <c:v>1556.5505944650984</c:v>
                </c:pt>
                <c:pt idx="75">
                  <c:v>1559.0496336758404</c:v>
                </c:pt>
                <c:pt idx="76">
                  <c:v>1561.5486728865824</c:v>
                </c:pt>
                <c:pt idx="77">
                  <c:v>1564.0477120973244</c:v>
                </c:pt>
                <c:pt idx="78">
                  <c:v>1566.5467513080664</c:v>
                </c:pt>
                <c:pt idx="79">
                  <c:v>1569.0457905188084</c:v>
                </c:pt>
                <c:pt idx="80">
                  <c:v>1571.5448297295507</c:v>
                </c:pt>
                <c:pt idx="81">
                  <c:v>1574.0438689402927</c:v>
                </c:pt>
                <c:pt idx="82">
                  <c:v>1576.5429081510347</c:v>
                </c:pt>
                <c:pt idx="83">
                  <c:v>1579.0419473617767</c:v>
                </c:pt>
                <c:pt idx="84">
                  <c:v>1581.5409865725187</c:v>
                </c:pt>
                <c:pt idx="85">
                  <c:v>1584.0400257832607</c:v>
                </c:pt>
                <c:pt idx="86">
                  <c:v>1586.5390649940027</c:v>
                </c:pt>
                <c:pt idx="87">
                  <c:v>1589.0381042047447</c:v>
                </c:pt>
                <c:pt idx="88">
                  <c:v>1591.5371434154868</c:v>
                </c:pt>
                <c:pt idx="89">
                  <c:v>1594.0361826262288</c:v>
                </c:pt>
                <c:pt idx="90">
                  <c:v>1596.535221836971</c:v>
                </c:pt>
                <c:pt idx="91">
                  <c:v>1599.034261047713</c:v>
                </c:pt>
                <c:pt idx="92">
                  <c:v>1601.533300258455</c:v>
                </c:pt>
                <c:pt idx="93">
                  <c:v>1604.032339469197</c:v>
                </c:pt>
                <c:pt idx="94">
                  <c:v>1606.5313786799391</c:v>
                </c:pt>
                <c:pt idx="95">
                  <c:v>1609.0304178906811</c:v>
                </c:pt>
                <c:pt idx="96">
                  <c:v>1611.5294571014231</c:v>
                </c:pt>
                <c:pt idx="97">
                  <c:v>1614.0284963121653</c:v>
                </c:pt>
                <c:pt idx="98">
                  <c:v>1616.5275355229073</c:v>
                </c:pt>
                <c:pt idx="99">
                  <c:v>1619.0265747336493</c:v>
                </c:pt>
                <c:pt idx="100">
                  <c:v>1621.5256139443914</c:v>
                </c:pt>
                <c:pt idx="101">
                  <c:v>1624.0246531551334</c:v>
                </c:pt>
                <c:pt idx="102">
                  <c:v>1626.5236923658754</c:v>
                </c:pt>
                <c:pt idx="103">
                  <c:v>1629.0227315766174</c:v>
                </c:pt>
                <c:pt idx="104">
                  <c:v>1631.5217707873594</c:v>
                </c:pt>
                <c:pt idx="105">
                  <c:v>1634.0208099981014</c:v>
                </c:pt>
                <c:pt idx="106">
                  <c:v>1636.5198492088434</c:v>
                </c:pt>
                <c:pt idx="107">
                  <c:v>1639.0188884195857</c:v>
                </c:pt>
                <c:pt idx="108">
                  <c:v>1641.5179276303277</c:v>
                </c:pt>
                <c:pt idx="109">
                  <c:v>1644.0169668410697</c:v>
                </c:pt>
                <c:pt idx="110">
                  <c:v>1646.5160060518117</c:v>
                </c:pt>
                <c:pt idx="111">
                  <c:v>1649.0150452625537</c:v>
                </c:pt>
                <c:pt idx="112">
                  <c:v>1651.5140844732957</c:v>
                </c:pt>
                <c:pt idx="113">
                  <c:v>1654.0131236840377</c:v>
                </c:pt>
                <c:pt idx="114">
                  <c:v>1656.51216289478</c:v>
                </c:pt>
                <c:pt idx="115">
                  <c:v>1659.011202105522</c:v>
                </c:pt>
                <c:pt idx="116">
                  <c:v>1661.510241316264</c:v>
                </c:pt>
                <c:pt idx="117">
                  <c:v>1664.009280527006</c:v>
                </c:pt>
                <c:pt idx="118">
                  <c:v>1666.508319737748</c:v>
                </c:pt>
                <c:pt idx="119">
                  <c:v>1669.00735894849</c:v>
                </c:pt>
                <c:pt idx="120">
                  <c:v>1671.506398159232</c:v>
                </c:pt>
                <c:pt idx="121">
                  <c:v>1674.0054373699741</c:v>
                </c:pt>
                <c:pt idx="122">
                  <c:v>1676.5044765807161</c:v>
                </c:pt>
                <c:pt idx="123">
                  <c:v>1679.0035157914581</c:v>
                </c:pt>
                <c:pt idx="124">
                  <c:v>1681.5025550022003</c:v>
                </c:pt>
                <c:pt idx="125">
                  <c:v>1684.0015942129423</c:v>
                </c:pt>
                <c:pt idx="126">
                  <c:v>1686.5006334236843</c:v>
                </c:pt>
                <c:pt idx="127">
                  <c:v>1688.9996726344264</c:v>
                </c:pt>
                <c:pt idx="128">
                  <c:v>1691.4987118451684</c:v>
                </c:pt>
                <c:pt idx="129">
                  <c:v>1693.9977510559104</c:v>
                </c:pt>
                <c:pt idx="130">
                  <c:v>1696.4967902666524</c:v>
                </c:pt>
                <c:pt idx="131">
                  <c:v>1698.9958294773946</c:v>
                </c:pt>
                <c:pt idx="132">
                  <c:v>1701.4948686881366</c:v>
                </c:pt>
                <c:pt idx="133">
                  <c:v>1703.9939078988787</c:v>
                </c:pt>
                <c:pt idx="134">
                  <c:v>1706.4929471096207</c:v>
                </c:pt>
                <c:pt idx="135">
                  <c:v>1708.9919863203627</c:v>
                </c:pt>
                <c:pt idx="136">
                  <c:v>1711.4910255311047</c:v>
                </c:pt>
                <c:pt idx="137">
                  <c:v>1713.9900647418467</c:v>
                </c:pt>
                <c:pt idx="138">
                  <c:v>1716.4891039525887</c:v>
                </c:pt>
                <c:pt idx="139">
                  <c:v>1718.9881431633307</c:v>
                </c:pt>
                <c:pt idx="140">
                  <c:v>1721.4871823740727</c:v>
                </c:pt>
                <c:pt idx="141">
                  <c:v>1723.986221584815</c:v>
                </c:pt>
                <c:pt idx="142">
                  <c:v>1726.485260795557</c:v>
                </c:pt>
                <c:pt idx="143">
                  <c:v>1728.984300006299</c:v>
                </c:pt>
                <c:pt idx="144">
                  <c:v>1731.483339217041</c:v>
                </c:pt>
                <c:pt idx="145">
                  <c:v>1733.982378427783</c:v>
                </c:pt>
                <c:pt idx="146">
                  <c:v>1736.481417638525</c:v>
                </c:pt>
                <c:pt idx="147">
                  <c:v>1738.9804568492671</c:v>
                </c:pt>
                <c:pt idx="148">
                  <c:v>1741.4794960600093</c:v>
                </c:pt>
                <c:pt idx="149">
                  <c:v>1743.9785352707513</c:v>
                </c:pt>
                <c:pt idx="150">
                  <c:v>1746.4775744814933</c:v>
                </c:pt>
                <c:pt idx="151">
                  <c:v>1748.9766136922353</c:v>
                </c:pt>
                <c:pt idx="152">
                  <c:v>1751.4756529029773</c:v>
                </c:pt>
                <c:pt idx="153">
                  <c:v>1753.9746921137194</c:v>
                </c:pt>
                <c:pt idx="154">
                  <c:v>1756.4737313244614</c:v>
                </c:pt>
                <c:pt idx="155">
                  <c:v>1758.9727705352034</c:v>
                </c:pt>
                <c:pt idx="156">
                  <c:v>1761.4718097459454</c:v>
                </c:pt>
                <c:pt idx="157">
                  <c:v>1763.9708489566874</c:v>
                </c:pt>
                <c:pt idx="158">
                  <c:v>1766.4698881674296</c:v>
                </c:pt>
                <c:pt idx="159">
                  <c:v>1768.9689273781717</c:v>
                </c:pt>
                <c:pt idx="160">
                  <c:v>1771.4679665889137</c:v>
                </c:pt>
                <c:pt idx="161">
                  <c:v>1773.9670057996557</c:v>
                </c:pt>
                <c:pt idx="162">
                  <c:v>1776.4660450103977</c:v>
                </c:pt>
                <c:pt idx="163">
                  <c:v>1778.9650842211397</c:v>
                </c:pt>
                <c:pt idx="164">
                  <c:v>1781.4641234318817</c:v>
                </c:pt>
                <c:pt idx="165">
                  <c:v>1783.963162642624</c:v>
                </c:pt>
                <c:pt idx="166">
                  <c:v>1786.462201853366</c:v>
                </c:pt>
                <c:pt idx="167">
                  <c:v>1788.961241064108</c:v>
                </c:pt>
                <c:pt idx="168">
                  <c:v>1791.46028027485</c:v>
                </c:pt>
                <c:pt idx="169">
                  <c:v>1793.959319485592</c:v>
                </c:pt>
                <c:pt idx="170">
                  <c:v>1796.458358696334</c:v>
                </c:pt>
                <c:pt idx="171">
                  <c:v>1798.957397907076</c:v>
                </c:pt>
                <c:pt idx="172">
                  <c:v>1801.456437117818</c:v>
                </c:pt>
                <c:pt idx="173">
                  <c:v>1803.9554763285601</c:v>
                </c:pt>
                <c:pt idx="174">
                  <c:v>1806.4545155393021</c:v>
                </c:pt>
                <c:pt idx="175">
                  <c:v>1808.9535547500441</c:v>
                </c:pt>
                <c:pt idx="176">
                  <c:v>1811.4525939607863</c:v>
                </c:pt>
                <c:pt idx="177">
                  <c:v>1813.9516331715283</c:v>
                </c:pt>
                <c:pt idx="178">
                  <c:v>1816.4506723822703</c:v>
                </c:pt>
                <c:pt idx="179">
                  <c:v>1818.9497115930124</c:v>
                </c:pt>
                <c:pt idx="180">
                  <c:v>1821.4487508037544</c:v>
                </c:pt>
                <c:pt idx="181">
                  <c:v>1823.9477900144964</c:v>
                </c:pt>
                <c:pt idx="182">
                  <c:v>1826.4468292252386</c:v>
                </c:pt>
                <c:pt idx="183">
                  <c:v>1828.9458684359806</c:v>
                </c:pt>
                <c:pt idx="184">
                  <c:v>1831.4449076467226</c:v>
                </c:pt>
                <c:pt idx="185">
                  <c:v>1833.9439468574647</c:v>
                </c:pt>
                <c:pt idx="186">
                  <c:v>1836.4429860682067</c:v>
                </c:pt>
                <c:pt idx="187">
                  <c:v>1838.9420252789487</c:v>
                </c:pt>
                <c:pt idx="188">
                  <c:v>1841.4410644896907</c:v>
                </c:pt>
                <c:pt idx="189">
                  <c:v>1843.9401037004327</c:v>
                </c:pt>
                <c:pt idx="190">
                  <c:v>1846.4391429111747</c:v>
                </c:pt>
                <c:pt idx="191">
                  <c:v>1848.9381821219167</c:v>
                </c:pt>
                <c:pt idx="192">
                  <c:v>1851.4372213326587</c:v>
                </c:pt>
                <c:pt idx="193">
                  <c:v>1853.936260543401</c:v>
                </c:pt>
                <c:pt idx="194">
                  <c:v>1856.435299754143</c:v>
                </c:pt>
                <c:pt idx="195">
                  <c:v>1858.934338964885</c:v>
                </c:pt>
                <c:pt idx="196">
                  <c:v>1861.433378175627</c:v>
                </c:pt>
                <c:pt idx="197">
                  <c:v>1863.932417386369</c:v>
                </c:pt>
                <c:pt idx="198">
                  <c:v>1866.431456597111</c:v>
                </c:pt>
                <c:pt idx="199">
                  <c:v>1868.9304958078533</c:v>
                </c:pt>
                <c:pt idx="200">
                  <c:v>1871.4295350185953</c:v>
                </c:pt>
                <c:pt idx="201">
                  <c:v>1873.9285742293373</c:v>
                </c:pt>
                <c:pt idx="202">
                  <c:v>1876.4276134400793</c:v>
                </c:pt>
                <c:pt idx="203">
                  <c:v>1878.9266526508213</c:v>
                </c:pt>
                <c:pt idx="204">
                  <c:v>1881.4256918615633</c:v>
                </c:pt>
                <c:pt idx="205">
                  <c:v>1883.9247310723053</c:v>
                </c:pt>
                <c:pt idx="206">
                  <c:v>1886.4237702830474</c:v>
                </c:pt>
                <c:pt idx="207">
                  <c:v>1888.9228094937894</c:v>
                </c:pt>
                <c:pt idx="208">
                  <c:v>1891.4218487045314</c:v>
                </c:pt>
                <c:pt idx="209">
                  <c:v>1893.9208879152734</c:v>
                </c:pt>
                <c:pt idx="210">
                  <c:v>1896.4199271260154</c:v>
                </c:pt>
                <c:pt idx="211">
                  <c:v>1898.9189663367576</c:v>
                </c:pt>
                <c:pt idx="212">
                  <c:v>1901.4180055474997</c:v>
                </c:pt>
                <c:pt idx="213">
                  <c:v>1903.9170447582417</c:v>
                </c:pt>
                <c:pt idx="214">
                  <c:v>1906.4160839689837</c:v>
                </c:pt>
                <c:pt idx="215">
                  <c:v>1908.9151231797259</c:v>
                </c:pt>
                <c:pt idx="216">
                  <c:v>1911.4141623904679</c:v>
                </c:pt>
                <c:pt idx="217">
                  <c:v>1913.9132016012099</c:v>
                </c:pt>
                <c:pt idx="218">
                  <c:v>1916.412240811952</c:v>
                </c:pt>
                <c:pt idx="219">
                  <c:v>1918.911280022694</c:v>
                </c:pt>
                <c:pt idx="220">
                  <c:v>1921.410319233436</c:v>
                </c:pt>
                <c:pt idx="221">
                  <c:v>1923.909358444178</c:v>
                </c:pt>
                <c:pt idx="222">
                  <c:v>1926.40839765492</c:v>
                </c:pt>
                <c:pt idx="223">
                  <c:v>1928.907436865662</c:v>
                </c:pt>
                <c:pt idx="224">
                  <c:v>1931.406476076404</c:v>
                </c:pt>
                <c:pt idx="225">
                  <c:v>1933.905515287146</c:v>
                </c:pt>
                <c:pt idx="226">
                  <c:v>1936.4045544978881</c:v>
                </c:pt>
                <c:pt idx="227">
                  <c:v>1938.9035937086301</c:v>
                </c:pt>
                <c:pt idx="228">
                  <c:v>1941.4026329193723</c:v>
                </c:pt>
                <c:pt idx="229">
                  <c:v>1943.9016721301143</c:v>
                </c:pt>
                <c:pt idx="230">
                  <c:v>1946.4007113408563</c:v>
                </c:pt>
                <c:pt idx="231">
                  <c:v>1948.8997505515983</c:v>
                </c:pt>
                <c:pt idx="232">
                  <c:v>1951.3987897623406</c:v>
                </c:pt>
                <c:pt idx="233">
                  <c:v>1953.8978289730826</c:v>
                </c:pt>
                <c:pt idx="234">
                  <c:v>1956.3968681838246</c:v>
                </c:pt>
                <c:pt idx="235">
                  <c:v>1958.8959073945666</c:v>
                </c:pt>
                <c:pt idx="236">
                  <c:v>1961.3949466053086</c:v>
                </c:pt>
                <c:pt idx="237">
                  <c:v>1963.8939858160506</c:v>
                </c:pt>
                <c:pt idx="238">
                  <c:v>1966.3930250267927</c:v>
                </c:pt>
                <c:pt idx="239">
                  <c:v>1968.8920642375347</c:v>
                </c:pt>
                <c:pt idx="240">
                  <c:v>1971.3911034482767</c:v>
                </c:pt>
                <c:pt idx="241">
                  <c:v>1973.8901426590187</c:v>
                </c:pt>
                <c:pt idx="242">
                  <c:v>1976.3891818697607</c:v>
                </c:pt>
                <c:pt idx="243">
                  <c:v>1978.8882210805027</c:v>
                </c:pt>
                <c:pt idx="244">
                  <c:v>1981.3872602912447</c:v>
                </c:pt>
                <c:pt idx="245">
                  <c:v>1983.886299501987</c:v>
                </c:pt>
                <c:pt idx="246">
                  <c:v>1986.385338712729</c:v>
                </c:pt>
                <c:pt idx="247">
                  <c:v>1988.884377923471</c:v>
                </c:pt>
                <c:pt idx="248">
                  <c:v>1991.383417134213</c:v>
                </c:pt>
                <c:pt idx="249">
                  <c:v>1993.8824563449552</c:v>
                </c:pt>
                <c:pt idx="250">
                  <c:v>1996.3814955556973</c:v>
                </c:pt>
                <c:pt idx="251">
                  <c:v>1998.8805347664393</c:v>
                </c:pt>
                <c:pt idx="252">
                  <c:v>2001.3795739771813</c:v>
                </c:pt>
                <c:pt idx="253">
                  <c:v>2003.8786131879233</c:v>
                </c:pt>
                <c:pt idx="254">
                  <c:v>2006.3776523986653</c:v>
                </c:pt>
                <c:pt idx="255">
                  <c:v>2008.8766916094073</c:v>
                </c:pt>
                <c:pt idx="256">
                  <c:v>2011.3757308201493</c:v>
                </c:pt>
                <c:pt idx="257">
                  <c:v>2013.8747700308913</c:v>
                </c:pt>
                <c:pt idx="258">
                  <c:v>2016.3738092416334</c:v>
                </c:pt>
                <c:pt idx="259">
                  <c:v>2018.8728484523754</c:v>
                </c:pt>
                <c:pt idx="260">
                  <c:v>2021.3718876631174</c:v>
                </c:pt>
                <c:pt idx="261">
                  <c:v>2023.8709268738594</c:v>
                </c:pt>
                <c:pt idx="262">
                  <c:v>2026.3699660846016</c:v>
                </c:pt>
                <c:pt idx="263">
                  <c:v>2028.8690052953436</c:v>
                </c:pt>
                <c:pt idx="264">
                  <c:v>2031.3680445060857</c:v>
                </c:pt>
                <c:pt idx="265">
                  <c:v>2033.8670837168277</c:v>
                </c:pt>
                <c:pt idx="266">
                  <c:v>2036.3661229275699</c:v>
                </c:pt>
                <c:pt idx="267">
                  <c:v>2038.8651621383119</c:v>
                </c:pt>
                <c:pt idx="268">
                  <c:v>2041.3642013490539</c:v>
                </c:pt>
                <c:pt idx="269">
                  <c:v>2043.8632405597959</c:v>
                </c:pt>
                <c:pt idx="270">
                  <c:v>2046.362279770538</c:v>
                </c:pt>
                <c:pt idx="271">
                  <c:v>2048.86131898128</c:v>
                </c:pt>
                <c:pt idx="272">
                  <c:v>2051.360358192022</c:v>
                </c:pt>
                <c:pt idx="273">
                  <c:v>2053.859397402764</c:v>
                </c:pt>
                <c:pt idx="274">
                  <c:v>2056.358436613506</c:v>
                </c:pt>
                <c:pt idx="275">
                  <c:v>2058.857475824248</c:v>
                </c:pt>
                <c:pt idx="276">
                  <c:v>2061.35651503499</c:v>
                </c:pt>
                <c:pt idx="277">
                  <c:v>2063.855554245732</c:v>
                </c:pt>
                <c:pt idx="278">
                  <c:v>2066.354593456474</c:v>
                </c:pt>
                <c:pt idx="279">
                  <c:v>2068.8536326672165</c:v>
                </c:pt>
                <c:pt idx="280">
                  <c:v>2071.3526718779585</c:v>
                </c:pt>
                <c:pt idx="281">
                  <c:v>2073.8517110887005</c:v>
                </c:pt>
                <c:pt idx="282">
                  <c:v>2076.3507502994426</c:v>
                </c:pt>
                <c:pt idx="283">
                  <c:v>2078.8497895101846</c:v>
                </c:pt>
                <c:pt idx="284">
                  <c:v>2081.3488287209266</c:v>
                </c:pt>
                <c:pt idx="285">
                  <c:v>2083.8478679316686</c:v>
                </c:pt>
                <c:pt idx="286">
                  <c:v>2086.3469071424106</c:v>
                </c:pt>
                <c:pt idx="287">
                  <c:v>2088.8459463531526</c:v>
                </c:pt>
                <c:pt idx="288">
                  <c:v>2091.3449855638946</c:v>
                </c:pt>
                <c:pt idx="289">
                  <c:v>2093.8440247746366</c:v>
                </c:pt>
                <c:pt idx="290">
                  <c:v>2096.3430639853786</c:v>
                </c:pt>
                <c:pt idx="291">
                  <c:v>2098.8421031961207</c:v>
                </c:pt>
                <c:pt idx="292">
                  <c:v>2101.3411424068627</c:v>
                </c:pt>
                <c:pt idx="293">
                  <c:v>2103.8401816176047</c:v>
                </c:pt>
                <c:pt idx="294">
                  <c:v>2106.3392208283467</c:v>
                </c:pt>
                <c:pt idx="295">
                  <c:v>2108.8382600390887</c:v>
                </c:pt>
                <c:pt idx="296">
                  <c:v>2111.3372992498307</c:v>
                </c:pt>
                <c:pt idx="297">
                  <c:v>2113.8363384605727</c:v>
                </c:pt>
                <c:pt idx="298">
                  <c:v>2116.3353776713147</c:v>
                </c:pt>
                <c:pt idx="299">
                  <c:v>2118.8344168820568</c:v>
                </c:pt>
                <c:pt idx="300">
                  <c:v>2121.3334560927992</c:v>
                </c:pt>
                <c:pt idx="301">
                  <c:v>2123.8324953035412</c:v>
                </c:pt>
                <c:pt idx="302">
                  <c:v>2126.3315345142832</c:v>
                </c:pt>
                <c:pt idx="303">
                  <c:v>2128.8305737250253</c:v>
                </c:pt>
                <c:pt idx="304">
                  <c:v>2131.3296129357673</c:v>
                </c:pt>
                <c:pt idx="305">
                  <c:v>2133.8286521465093</c:v>
                </c:pt>
                <c:pt idx="306">
                  <c:v>2136.3276913572513</c:v>
                </c:pt>
                <c:pt idx="307">
                  <c:v>2138.8267305679933</c:v>
                </c:pt>
                <c:pt idx="308">
                  <c:v>2141.3257697787353</c:v>
                </c:pt>
                <c:pt idx="309">
                  <c:v>2143.8248089894773</c:v>
                </c:pt>
                <c:pt idx="310">
                  <c:v>2146.3238482002193</c:v>
                </c:pt>
                <c:pt idx="311">
                  <c:v>2148.8228874109614</c:v>
                </c:pt>
                <c:pt idx="312">
                  <c:v>2151.3219266217034</c:v>
                </c:pt>
                <c:pt idx="313">
                  <c:v>2153.8209658324458</c:v>
                </c:pt>
                <c:pt idx="314">
                  <c:v>2156.3200050431878</c:v>
                </c:pt>
                <c:pt idx="315">
                  <c:v>2158.8190442539299</c:v>
                </c:pt>
                <c:pt idx="316">
                  <c:v>2161.3180834646719</c:v>
                </c:pt>
                <c:pt idx="317">
                  <c:v>2163.8171226754139</c:v>
                </c:pt>
                <c:pt idx="318">
                  <c:v>2166.3161618861559</c:v>
                </c:pt>
                <c:pt idx="319">
                  <c:v>2168.8152010968979</c:v>
                </c:pt>
                <c:pt idx="320">
                  <c:v>2171.3142403076399</c:v>
                </c:pt>
                <c:pt idx="321">
                  <c:v>2173.8132795183819</c:v>
                </c:pt>
                <c:pt idx="322">
                  <c:v>2176.3123187291239</c:v>
                </c:pt>
                <c:pt idx="323">
                  <c:v>2178.811357939866</c:v>
                </c:pt>
                <c:pt idx="324">
                  <c:v>2181.310397150608</c:v>
                </c:pt>
                <c:pt idx="325">
                  <c:v>2183.80943636135</c:v>
                </c:pt>
                <c:pt idx="326">
                  <c:v>2186.308475572092</c:v>
                </c:pt>
                <c:pt idx="327">
                  <c:v>2188.807514782834</c:v>
                </c:pt>
                <c:pt idx="328">
                  <c:v>2191.306553993576</c:v>
                </c:pt>
                <c:pt idx="329">
                  <c:v>2193.805593204318</c:v>
                </c:pt>
                <c:pt idx="330">
                  <c:v>2196.30463241506</c:v>
                </c:pt>
                <c:pt idx="331">
                  <c:v>2198.8036716258021</c:v>
                </c:pt>
                <c:pt idx="332">
                  <c:v>2201.3027108365441</c:v>
                </c:pt>
                <c:pt idx="333">
                  <c:v>2203.8017500472861</c:v>
                </c:pt>
                <c:pt idx="334">
                  <c:v>2206.3007892580285</c:v>
                </c:pt>
                <c:pt idx="335">
                  <c:v>2208.7998284687706</c:v>
                </c:pt>
                <c:pt idx="336">
                  <c:v>2211.2988676795126</c:v>
                </c:pt>
                <c:pt idx="337">
                  <c:v>2213.7979068902546</c:v>
                </c:pt>
                <c:pt idx="338">
                  <c:v>2216.2969461009966</c:v>
                </c:pt>
                <c:pt idx="339">
                  <c:v>2218.7959853117386</c:v>
                </c:pt>
                <c:pt idx="340">
                  <c:v>2221.2950245224806</c:v>
                </c:pt>
                <c:pt idx="341">
                  <c:v>2223.7940637332226</c:v>
                </c:pt>
                <c:pt idx="342">
                  <c:v>2226.2931029439646</c:v>
                </c:pt>
                <c:pt idx="343">
                  <c:v>2228.7921421547067</c:v>
                </c:pt>
                <c:pt idx="344">
                  <c:v>2231.2911813654487</c:v>
                </c:pt>
                <c:pt idx="345">
                  <c:v>2233.7902205761907</c:v>
                </c:pt>
                <c:pt idx="346">
                  <c:v>2236.2892597869327</c:v>
                </c:pt>
                <c:pt idx="347">
                  <c:v>2238.7882989976752</c:v>
                </c:pt>
                <c:pt idx="348">
                  <c:v>2241.2873382084172</c:v>
                </c:pt>
                <c:pt idx="349">
                  <c:v>2243.7863774191592</c:v>
                </c:pt>
                <c:pt idx="350">
                  <c:v>2246.2854166299012</c:v>
                </c:pt>
                <c:pt idx="351">
                  <c:v>2248.7844558406432</c:v>
                </c:pt>
                <c:pt idx="352">
                  <c:v>2251.2834950513852</c:v>
                </c:pt>
                <c:pt idx="353">
                  <c:v>2253.7825342621272</c:v>
                </c:pt>
                <c:pt idx="354">
                  <c:v>2256.2815734728692</c:v>
                </c:pt>
                <c:pt idx="355">
                  <c:v>2258.7806126836113</c:v>
                </c:pt>
                <c:pt idx="356">
                  <c:v>2261.2796518943533</c:v>
                </c:pt>
                <c:pt idx="357">
                  <c:v>2263.7786911050953</c:v>
                </c:pt>
                <c:pt idx="358">
                  <c:v>2266.2777303158373</c:v>
                </c:pt>
                <c:pt idx="359">
                  <c:v>2268.7767695265793</c:v>
                </c:pt>
                <c:pt idx="360">
                  <c:v>2271.2758087373213</c:v>
                </c:pt>
                <c:pt idx="361">
                  <c:v>2273.7748479480633</c:v>
                </c:pt>
                <c:pt idx="362">
                  <c:v>2276.2738871588053</c:v>
                </c:pt>
                <c:pt idx="363">
                  <c:v>2278.7729263695473</c:v>
                </c:pt>
                <c:pt idx="364">
                  <c:v>2281.2719655802894</c:v>
                </c:pt>
                <c:pt idx="365">
                  <c:v>2283.7710047910314</c:v>
                </c:pt>
                <c:pt idx="366">
                  <c:v>2286.2700440017734</c:v>
                </c:pt>
                <c:pt idx="367">
                  <c:v>2288.7690832125154</c:v>
                </c:pt>
                <c:pt idx="368">
                  <c:v>2291.2681224232574</c:v>
                </c:pt>
                <c:pt idx="369">
                  <c:v>2293.7671616339999</c:v>
                </c:pt>
                <c:pt idx="370">
                  <c:v>2296.2662008447419</c:v>
                </c:pt>
                <c:pt idx="371">
                  <c:v>2298.7652400554839</c:v>
                </c:pt>
                <c:pt idx="372">
                  <c:v>2301.2642792662259</c:v>
                </c:pt>
                <c:pt idx="373">
                  <c:v>2303.7633184769679</c:v>
                </c:pt>
                <c:pt idx="374">
                  <c:v>2306.2623576877099</c:v>
                </c:pt>
                <c:pt idx="375">
                  <c:v>2308.7613968984519</c:v>
                </c:pt>
                <c:pt idx="376">
                  <c:v>2311.260436109194</c:v>
                </c:pt>
                <c:pt idx="377">
                  <c:v>2313.759475319936</c:v>
                </c:pt>
                <c:pt idx="378">
                  <c:v>2316.258514530678</c:v>
                </c:pt>
                <c:pt idx="379">
                  <c:v>2318.75755374142</c:v>
                </c:pt>
                <c:pt idx="380">
                  <c:v>2321.256592952162</c:v>
                </c:pt>
                <c:pt idx="381">
                  <c:v>2323.7556321629045</c:v>
                </c:pt>
                <c:pt idx="382">
                  <c:v>2326.2546713736465</c:v>
                </c:pt>
                <c:pt idx="383">
                  <c:v>2328.7537105843885</c:v>
                </c:pt>
                <c:pt idx="384">
                  <c:v>2331.2527497951305</c:v>
                </c:pt>
                <c:pt idx="385">
                  <c:v>2333.7517890058725</c:v>
                </c:pt>
                <c:pt idx="386">
                  <c:v>2336.2508282166145</c:v>
                </c:pt>
                <c:pt idx="387">
                  <c:v>2338.7498674273565</c:v>
                </c:pt>
                <c:pt idx="388">
                  <c:v>2341.2489066380986</c:v>
                </c:pt>
                <c:pt idx="389">
                  <c:v>2343.7479458488406</c:v>
                </c:pt>
                <c:pt idx="390">
                  <c:v>2346.2469850595826</c:v>
                </c:pt>
                <c:pt idx="391">
                  <c:v>2348.7460242703246</c:v>
                </c:pt>
                <c:pt idx="392">
                  <c:v>2351.2450634810666</c:v>
                </c:pt>
                <c:pt idx="393">
                  <c:v>2353.7441026918086</c:v>
                </c:pt>
                <c:pt idx="394">
                  <c:v>2356.2431419025506</c:v>
                </c:pt>
                <c:pt idx="395">
                  <c:v>2358.7421811132926</c:v>
                </c:pt>
                <c:pt idx="396">
                  <c:v>2361.2412203240347</c:v>
                </c:pt>
                <c:pt idx="397">
                  <c:v>2363.7402595347767</c:v>
                </c:pt>
                <c:pt idx="398">
                  <c:v>2366.2392987455187</c:v>
                </c:pt>
                <c:pt idx="399">
                  <c:v>2368.7383379562607</c:v>
                </c:pt>
                <c:pt idx="400">
                  <c:v>2371.2373771670027</c:v>
                </c:pt>
                <c:pt idx="401">
                  <c:v>2373.7364163777447</c:v>
                </c:pt>
                <c:pt idx="402">
                  <c:v>2376.2354555884867</c:v>
                </c:pt>
                <c:pt idx="403">
                  <c:v>2378.7344947992292</c:v>
                </c:pt>
                <c:pt idx="404">
                  <c:v>2381.2335340099712</c:v>
                </c:pt>
                <c:pt idx="405">
                  <c:v>2383.7325732207132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35-4071-853E-D1341E58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193727"/>
        <c:axId val="1293194143"/>
      </c:lineChart>
      <c:catAx>
        <c:axId val="129319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194143"/>
        <c:crosses val="autoZero"/>
        <c:auto val="1"/>
        <c:lblAlgn val="ctr"/>
        <c:lblOffset val="100"/>
        <c:noMultiLvlLbl val="0"/>
      </c:catAx>
      <c:valAx>
        <c:axId val="129319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319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'dataset_2025-11-17T12_56_18.236'!$D$1</c:f>
              <c:strCache>
                <c:ptCount val="1"/>
                <c:pt idx="0">
                  <c:v>US dollars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'dataset_2025-11-17T12_56_18.236'!$D$2:$D$407</c:f>
              <c:numCache>
                <c:formatCode>General</c:formatCode>
                <c:ptCount val="406"/>
                <c:pt idx="0">
                  <c:v>1181.22729492188</c:v>
                </c:pt>
                <c:pt idx="1">
                  <c:v>1270.75</c:v>
                </c:pt>
                <c:pt idx="2">
                  <c:v>1282.02270507813</c:v>
                </c:pt>
                <c:pt idx="3">
                  <c:v>1317.125</c:v>
                </c:pt>
                <c:pt idx="4">
                  <c:v>1306.71069335938</c:v>
                </c:pt>
                <c:pt idx="5">
                  <c:v>1275.27270507813</c:v>
                </c:pt>
                <c:pt idx="6">
                  <c:v>1314.34790039063</c:v>
                </c:pt>
                <c:pt idx="7">
                  <c:v>1305.55004882813</c:v>
                </c:pt>
                <c:pt idx="8">
                  <c:v>1270.21435546875</c:v>
                </c:pt>
                <c:pt idx="9">
                  <c:v>1180.84106445313</c:v>
                </c:pt>
                <c:pt idx="10">
                  <c:v>1162.21435546875</c:v>
                </c:pt>
                <c:pt idx="11">
                  <c:v>1209.02380371094</c:v>
                </c:pt>
                <c:pt idx="12">
                  <c:v>1208.09997558594</c:v>
                </c:pt>
                <c:pt idx="13">
                  <c:v>1203.15002441406</c:v>
                </c:pt>
                <c:pt idx="14">
                  <c:v>1150.47827148438</c:v>
                </c:pt>
                <c:pt idx="15">
                  <c:v>1110.27502441406</c:v>
                </c:pt>
                <c:pt idx="16">
                  <c:v>1125.42102050781</c:v>
                </c:pt>
                <c:pt idx="17">
                  <c:v>1168.09094238281</c:v>
                </c:pt>
                <c:pt idx="18">
                  <c:v>1203.18176269531</c:v>
                </c:pt>
                <c:pt idx="19">
                  <c:v>1172.76196289063</c:v>
                </c:pt>
                <c:pt idx="20">
                  <c:v>1116.90905761719</c:v>
                </c:pt>
                <c:pt idx="21">
                  <c:v>1089.42858886719</c:v>
                </c:pt>
                <c:pt idx="22">
                  <c:v>1040.02270507813</c:v>
                </c:pt>
                <c:pt idx="23">
                  <c:v>1091.34997558594</c:v>
                </c:pt>
                <c:pt idx="24">
                  <c:v>1170</c:v>
                </c:pt>
                <c:pt idx="25">
                  <c:v>1270.52502441406</c:v>
                </c:pt>
                <c:pt idx="26">
                  <c:v>1287.69567871094</c:v>
                </c:pt>
                <c:pt idx="27">
                  <c:v>1277.28942871094</c:v>
                </c:pt>
                <c:pt idx="28">
                  <c:v>1321.04760742188</c:v>
                </c:pt>
                <c:pt idx="29">
                  <c:v>1402.36364746094</c:v>
                </c:pt>
                <c:pt idx="30">
                  <c:v>1491.95239257813</c:v>
                </c:pt>
                <c:pt idx="31">
                  <c:v>1457.06823730469</c:v>
                </c:pt>
                <c:pt idx="32">
                  <c:v>1571.09094238281</c:v>
                </c:pt>
                <c:pt idx="33">
                  <c:v>1694.26196289063</c:v>
                </c:pt>
                <c:pt idx="34">
                  <c:v>1885.88635253906</c:v>
                </c:pt>
                <c:pt idx="35">
                  <c:v>1878.375</c:v>
                </c:pt>
                <c:pt idx="36">
                  <c:v>2059.35717773438</c:v>
                </c:pt>
                <c:pt idx="37">
                  <c:v>1905.44995117188</c:v>
                </c:pt>
                <c:pt idx="38">
                  <c:v>1799.97827148438</c:v>
                </c:pt>
                <c:pt idx="39">
                  <c:v>1849.44445800781</c:v>
                </c:pt>
                <c:pt idx="40">
                  <c:v>1765.47619628906</c:v>
                </c:pt>
                <c:pt idx="41">
                  <c:v>1775.79541015625</c:v>
                </c:pt>
                <c:pt idx="42">
                  <c:v>1867.27502441406</c:v>
                </c:pt>
                <c:pt idx="43">
                  <c:v>1890.04541015625</c:v>
                </c:pt>
                <c:pt idx="44">
                  <c:v>1761.72497558594</c:v>
                </c:pt>
                <c:pt idx="45">
                  <c:v>1671.95458984375</c:v>
                </c:pt>
                <c:pt idx="46">
                  <c:v>1655.92858886719</c:v>
                </c:pt>
                <c:pt idx="47">
                  <c:v>1657.81579589844</c:v>
                </c:pt>
                <c:pt idx="48">
                  <c:v>1584.47619628906</c:v>
                </c:pt>
                <c:pt idx="49">
                  <c:v>1594.57141113281</c:v>
                </c:pt>
                <c:pt idx="50">
                  <c:v>1614.85717773438</c:v>
                </c:pt>
                <c:pt idx="51">
                  <c:v>1587.40002441406</c:v>
                </c:pt>
                <c:pt idx="52">
                  <c:v>1593.85717773438</c:v>
                </c:pt>
                <c:pt idx="53">
                  <c:v>1485.75</c:v>
                </c:pt>
                <c:pt idx="54">
                  <c:v>1460.02172851563</c:v>
                </c:pt>
                <c:pt idx="55">
                  <c:v>1466.78576660156</c:v>
                </c:pt>
                <c:pt idx="56">
                  <c:v>1405.76196289063</c:v>
                </c:pt>
                <c:pt idx="57">
                  <c:v>1336.02172851563</c:v>
                </c:pt>
                <c:pt idx="58">
                  <c:v>1451.04760742188</c:v>
                </c:pt>
                <c:pt idx="59">
                  <c:v>1500.97619628906</c:v>
                </c:pt>
                <c:pt idx="60">
                  <c:v>1575.13635253906</c:v>
                </c:pt>
                <c:pt idx="61">
                  <c:v>1582.05297851563</c:v>
                </c:pt>
                <c:pt idx="62">
                  <c:v>1631.18420410156</c:v>
                </c:pt>
                <c:pt idx="63">
                  <c:v>1561.11364746094</c:v>
                </c:pt>
                <c:pt idx="64">
                  <c:v>1625.44995117188</c:v>
                </c:pt>
                <c:pt idx="65">
                  <c:v>1567.1904296875</c:v>
                </c:pt>
                <c:pt idx="66">
                  <c:v>1591.5869140625</c:v>
                </c:pt>
                <c:pt idx="67">
                  <c:v>1710.02502441406</c:v>
                </c:pt>
                <c:pt idx="68">
                  <c:v>1611.61901855469</c:v>
                </c:pt>
                <c:pt idx="69">
                  <c:v>1607.32604980469</c:v>
                </c:pt>
                <c:pt idx="70">
                  <c:v>1598.32495117188</c:v>
                </c:pt>
                <c:pt idx="71">
                  <c:v>1530.52380371094</c:v>
                </c:pt>
                <c:pt idx="72">
                  <c:v>1485.47497558594</c:v>
                </c:pt>
                <c:pt idx="73">
                  <c:v>1465.17504882813</c:v>
                </c:pt>
                <c:pt idx="74">
                  <c:v>1438.31823730469</c:v>
                </c:pt>
                <c:pt idx="75">
                  <c:v>1417.55004882813</c:v>
                </c:pt>
                <c:pt idx="76">
                  <c:v>1364.31579589844</c:v>
                </c:pt>
                <c:pt idx="77">
                  <c:v>1305.52380371094</c:v>
                </c:pt>
                <c:pt idx="78">
                  <c:v>1312.66662597656</c:v>
                </c:pt>
                <c:pt idx="79">
                  <c:v>1310.55004882813</c:v>
                </c:pt>
                <c:pt idx="80">
                  <c:v>1341.88635253906</c:v>
                </c:pt>
                <c:pt idx="81">
                  <c:v>1303.70458984375</c:v>
                </c:pt>
                <c:pt idx="82">
                  <c:v>1295.30004882813</c:v>
                </c:pt>
                <c:pt idx="83">
                  <c:v>1250.39477539063</c:v>
                </c:pt>
                <c:pt idx="84">
                  <c:v>1219.40002441406</c:v>
                </c:pt>
                <c:pt idx="85">
                  <c:v>1186.4749999999999</c:v>
                </c:pt>
                <c:pt idx="86">
                  <c:v>1179.8636363636399</c:v>
                </c:pt>
                <c:pt idx="87">
                  <c:v>1277.8499999999999</c:v>
                </c:pt>
                <c:pt idx="88">
                  <c:v>1323.1315789473699</c:v>
                </c:pt>
                <c:pt idx="89">
                  <c:v>1315.52272727273</c:v>
                </c:pt>
                <c:pt idx="90">
                  <c:v>1403.3636363636399</c:v>
                </c:pt>
                <c:pt idx="91">
                  <c:v>1421.69047619048</c:v>
                </c:pt>
                <c:pt idx="92">
                  <c:v>1492.0681818181799</c:v>
                </c:pt>
                <c:pt idx="93">
                  <c:v>1473.3333333333301</c:v>
                </c:pt>
                <c:pt idx="94">
                  <c:v>1472.4318181818201</c:v>
                </c:pt>
                <c:pt idx="95">
                  <c:v>1554.73529411765</c:v>
                </c:pt>
                <c:pt idx="96">
                  <c:v>1679.85</c:v>
                </c:pt>
                <c:pt idx="97">
                  <c:v>1679.425</c:v>
                </c:pt>
                <c:pt idx="98">
                  <c:v>1579.64</c:v>
                </c:pt>
                <c:pt idx="99">
                  <c:v>1458.7449999999999</c:v>
                </c:pt>
                <c:pt idx="100">
                  <c:v>1468.0652173912999</c:v>
                </c:pt>
                <c:pt idx="101">
                  <c:v>1509.3727272727299</c:v>
                </c:pt>
                <c:pt idx="102">
                  <c:v>1564.37619047619</c:v>
                </c:pt>
                <c:pt idx="103">
                  <c:v>1530.3347826086999</c:v>
                </c:pt>
                <c:pt idx="104">
                  <c:v>1602.30952380952</c:v>
                </c:pt>
                <c:pt idx="105">
                  <c:v>1501.24545454545</c:v>
                </c:pt>
                <c:pt idx="106">
                  <c:v>1475.55454545455</c:v>
                </c:pt>
                <c:pt idx="107">
                  <c:v>1569.0550000000001</c:v>
                </c:pt>
                <c:pt idx="108">
                  <c:v>1619.8772727272701</c:v>
                </c:pt>
                <c:pt idx="109">
                  <c:v>1607.03</c:v>
                </c:pt>
                <c:pt idx="110">
                  <c:v>1512.1727272727301</c:v>
                </c:pt>
                <c:pt idx="111">
                  <c:v>1499.4833333333299</c:v>
                </c:pt>
                <c:pt idx="112">
                  <c:v>1542.3904761904801</c:v>
                </c:pt>
                <c:pt idx="113">
                  <c:v>1470.8333333333301</c:v>
                </c:pt>
                <c:pt idx="114">
                  <c:v>1418.6227272727299</c:v>
                </c:pt>
                <c:pt idx="115">
                  <c:v>1377.8454545454499</c:v>
                </c:pt>
                <c:pt idx="116">
                  <c:v>1345.9949999999999</c:v>
                </c:pt>
                <c:pt idx="117">
                  <c:v>1283.53043478261</c:v>
                </c:pt>
                <c:pt idx="118">
                  <c:v>1334.45454545455</c:v>
                </c:pt>
                <c:pt idx="119">
                  <c:v>1348.72352941176</c:v>
                </c:pt>
                <c:pt idx="120">
                  <c:v>1371.3636363636399</c:v>
                </c:pt>
                <c:pt idx="121">
                  <c:v>1371.08</c:v>
                </c:pt>
                <c:pt idx="122">
                  <c:v>1404.9849999999999</c:v>
                </c:pt>
                <c:pt idx="123">
                  <c:v>1370.38571428571</c:v>
                </c:pt>
                <c:pt idx="124">
                  <c:v>1344.4272727272701</c:v>
                </c:pt>
                <c:pt idx="125">
                  <c:v>1356.93333333333</c:v>
                </c:pt>
                <c:pt idx="126">
                  <c:v>1337.8652173912999</c:v>
                </c:pt>
                <c:pt idx="127">
                  <c:v>1293.3571428571399</c:v>
                </c:pt>
                <c:pt idx="128">
                  <c:v>1301.7</c:v>
                </c:pt>
                <c:pt idx="129">
                  <c:v>1311.46086956522</c:v>
                </c:pt>
                <c:pt idx="130">
                  <c:v>1373.2666666666701</c:v>
                </c:pt>
                <c:pt idx="131">
                  <c:v>1375.8619047619</c:v>
                </c:pt>
                <c:pt idx="132">
                  <c:v>1379.26818181818</c:v>
                </c:pt>
                <c:pt idx="133">
                  <c:v>1421.5350000000001</c:v>
                </c:pt>
                <c:pt idx="134">
                  <c:v>1386.5238095238101</c:v>
                </c:pt>
                <c:pt idx="135">
                  <c:v>1334.29</c:v>
                </c:pt>
                <c:pt idx="136">
                  <c:v>1400.3975</c:v>
                </c:pt>
                <c:pt idx="137">
                  <c:v>1410.5166666666701</c:v>
                </c:pt>
                <c:pt idx="138">
                  <c:v>1440.8804347826101</c:v>
                </c:pt>
                <c:pt idx="139">
                  <c:v>1457.2249999999999</c:v>
                </c:pt>
                <c:pt idx="140">
                  <c:v>1416.5772727272699</c:v>
                </c:pt>
                <c:pt idx="141">
                  <c:v>1477.22391304348</c:v>
                </c:pt>
                <c:pt idx="142">
                  <c:v>1511.585</c:v>
                </c:pt>
                <c:pt idx="143">
                  <c:v>1557.7785714285701</c:v>
                </c:pt>
                <c:pt idx="144">
                  <c:v>1608.8928571428601</c:v>
                </c:pt>
                <c:pt idx="145">
                  <c:v>1685.2249999999999</c:v>
                </c:pt>
                <c:pt idx="146">
                  <c:v>1657.3543478260899</c:v>
                </c:pt>
                <c:pt idx="147">
                  <c:v>1731.68</c:v>
                </c:pt>
                <c:pt idx="148">
                  <c:v>1625.25</c:v>
                </c:pt>
                <c:pt idx="149">
                  <c:v>1682.0295454545501</c:v>
                </c:pt>
                <c:pt idx="150">
                  <c:v>1707.8409090909099</c:v>
                </c:pt>
                <c:pt idx="151">
                  <c:v>1692.07142857143</c:v>
                </c:pt>
                <c:pt idx="152">
                  <c:v>1731</c:v>
                </c:pt>
                <c:pt idx="153">
                  <c:v>1830.3571428571399</c:v>
                </c:pt>
                <c:pt idx="154">
                  <c:v>1817.3409090909099</c:v>
                </c:pt>
                <c:pt idx="155">
                  <c:v>1852.9095238095199</c:v>
                </c:pt>
                <c:pt idx="156">
                  <c:v>1836.175</c:v>
                </c:pt>
                <c:pt idx="157">
                  <c:v>1882.7750000000001</c:v>
                </c:pt>
                <c:pt idx="158">
                  <c:v>1987.5</c:v>
                </c:pt>
                <c:pt idx="159">
                  <c:v>1891.9880952381</c:v>
                </c:pt>
                <c:pt idx="160">
                  <c:v>1741.45</c:v>
                </c:pt>
                <c:pt idx="161">
                  <c:v>1731.9431818181799</c:v>
                </c:pt>
                <c:pt idx="162">
                  <c:v>1783.2619047619</c:v>
                </c:pt>
                <c:pt idx="163">
                  <c:v>1871.27272727273</c:v>
                </c:pt>
                <c:pt idx="164">
                  <c:v>1837.6931818181799</c:v>
                </c:pt>
                <c:pt idx="165">
                  <c:v>1934.1428571428601</c:v>
                </c:pt>
                <c:pt idx="166">
                  <c:v>2056.9704545454501</c:v>
                </c:pt>
                <c:pt idx="167">
                  <c:v>2250.9</c:v>
                </c:pt>
                <c:pt idx="168">
                  <c:v>2383.3023809523802</c:v>
                </c:pt>
                <c:pt idx="169">
                  <c:v>2453.375</c:v>
                </c:pt>
                <c:pt idx="170">
                  <c:v>2432.47826086957</c:v>
                </c:pt>
                <c:pt idx="171">
                  <c:v>2623.8583333333299</c:v>
                </c:pt>
                <c:pt idx="172">
                  <c:v>2852.0714285714298</c:v>
                </c:pt>
                <c:pt idx="173">
                  <c:v>2490.95454545455</c:v>
                </c:pt>
                <c:pt idx="174">
                  <c:v>2511.8333333333298</c:v>
                </c:pt>
                <c:pt idx="175">
                  <c:v>2461.5522727272701</c:v>
                </c:pt>
                <c:pt idx="176">
                  <c:v>2484.38095238095</c:v>
                </c:pt>
                <c:pt idx="177">
                  <c:v>2657.1477272727302</c:v>
                </c:pt>
                <c:pt idx="178">
                  <c:v>2702.1363636363599</c:v>
                </c:pt>
                <c:pt idx="179">
                  <c:v>2823.6710526315801</c:v>
                </c:pt>
                <c:pt idx="180">
                  <c:v>2799.0590909090902</c:v>
                </c:pt>
                <c:pt idx="181">
                  <c:v>2839.05</c:v>
                </c:pt>
                <c:pt idx="182">
                  <c:v>2757.07954545455</c:v>
                </c:pt>
                <c:pt idx="183">
                  <c:v>2817.0526315789498</c:v>
                </c:pt>
                <c:pt idx="184">
                  <c:v>2804.6047619047599</c:v>
                </c:pt>
                <c:pt idx="185">
                  <c:v>2681.3095238095202</c:v>
                </c:pt>
                <c:pt idx="186">
                  <c:v>2738.0909090909099</c:v>
                </c:pt>
                <c:pt idx="187">
                  <c:v>2512.6022727272698</c:v>
                </c:pt>
                <c:pt idx="188">
                  <c:v>2394.9625000000001</c:v>
                </c:pt>
                <c:pt idx="189">
                  <c:v>2444.5326086956502</c:v>
                </c:pt>
                <c:pt idx="190">
                  <c:v>2507.15227272727</c:v>
                </c:pt>
                <c:pt idx="191">
                  <c:v>2382.8333333333298</c:v>
                </c:pt>
                <c:pt idx="192">
                  <c:v>2456.125</c:v>
                </c:pt>
                <c:pt idx="193">
                  <c:v>2784.8928571428601</c:v>
                </c:pt>
                <c:pt idx="194">
                  <c:v>3012.0526315789498</c:v>
                </c:pt>
                <c:pt idx="195">
                  <c:v>2968.0340909090901</c:v>
                </c:pt>
                <c:pt idx="196">
                  <c:v>2908.2775000000001</c:v>
                </c:pt>
                <c:pt idx="197">
                  <c:v>2967.86904761905</c:v>
                </c:pt>
                <c:pt idx="198">
                  <c:v>3067.45652173913</c:v>
                </c:pt>
                <c:pt idx="199">
                  <c:v>2762.56</c:v>
                </c:pt>
                <c:pt idx="200">
                  <c:v>2524.1477272727302</c:v>
                </c:pt>
                <c:pt idx="201">
                  <c:v>2122.0282608695702</c:v>
                </c:pt>
                <c:pt idx="202">
                  <c:v>1857.13</c:v>
                </c:pt>
                <c:pt idx="203">
                  <c:v>1504.4166666666699</c:v>
                </c:pt>
                <c:pt idx="204">
                  <c:v>1420.3595238095199</c:v>
                </c:pt>
                <c:pt idx="205">
                  <c:v>1338.0625</c:v>
                </c:pt>
                <c:pt idx="206">
                  <c:v>1338.07954545455</c:v>
                </c:pt>
                <c:pt idx="207">
                  <c:v>1431.8125</c:v>
                </c:pt>
                <c:pt idx="208">
                  <c:v>1466.6710526315801</c:v>
                </c:pt>
                <c:pt idx="209">
                  <c:v>1579.6272727272701</c:v>
                </c:pt>
                <c:pt idx="210">
                  <c:v>1670.5565217391299</c:v>
                </c:pt>
                <c:pt idx="211">
                  <c:v>1927.6375</c:v>
                </c:pt>
                <c:pt idx="212">
                  <c:v>1835.59772727273</c:v>
                </c:pt>
                <c:pt idx="213">
                  <c:v>1875.6636363636401</c:v>
                </c:pt>
                <c:pt idx="214">
                  <c:v>1956.5476190476199</c:v>
                </c:pt>
                <c:pt idx="215">
                  <c:v>2181.25714285714</c:v>
                </c:pt>
                <c:pt idx="216">
                  <c:v>2230.1125000000002</c:v>
                </c:pt>
                <c:pt idx="217">
                  <c:v>2053.27</c:v>
                </c:pt>
                <c:pt idx="218">
                  <c:v>2210.53043478261</c:v>
                </c:pt>
                <c:pt idx="219">
                  <c:v>2314.2775000000001</c:v>
                </c:pt>
                <c:pt idx="220">
                  <c:v>2044.71052631579</c:v>
                </c:pt>
                <c:pt idx="221">
                  <c:v>1929.4090909090901</c:v>
                </c:pt>
                <c:pt idx="222">
                  <c:v>1989.04545454545</c:v>
                </c:pt>
                <c:pt idx="223">
                  <c:v>2110.4404761904798</c:v>
                </c:pt>
                <c:pt idx="224">
                  <c:v>2171.2431818181799</c:v>
                </c:pt>
                <c:pt idx="225">
                  <c:v>2342.1785714285702</c:v>
                </c:pt>
                <c:pt idx="226">
                  <c:v>2324.04545454545</c:v>
                </c:pt>
                <c:pt idx="227">
                  <c:v>2356.6690476190502</c:v>
                </c:pt>
                <c:pt idx="228">
                  <c:v>2439.6999999999998</c:v>
                </c:pt>
                <c:pt idx="229">
                  <c:v>2515.2600000000002</c:v>
                </c:pt>
                <c:pt idx="230">
                  <c:v>2555.5</c:v>
                </c:pt>
                <c:pt idx="231">
                  <c:v>2667.4166666666702</c:v>
                </c:pt>
                <c:pt idx="232">
                  <c:v>2587.2125000000001</c:v>
                </c:pt>
                <c:pt idx="233">
                  <c:v>2557.7613636363599</c:v>
                </c:pt>
                <c:pt idx="234">
                  <c:v>2525.4285714285702</c:v>
                </c:pt>
                <c:pt idx="235">
                  <c:v>2380.9749999999999</c:v>
                </c:pt>
                <c:pt idx="236">
                  <c:v>2293.4613636363601</c:v>
                </c:pt>
                <c:pt idx="237">
                  <c:v>2180.6476190476201</c:v>
                </c:pt>
                <c:pt idx="238">
                  <c:v>2079.98181818182</c:v>
                </c:pt>
                <c:pt idx="239">
                  <c:v>2024.375</c:v>
                </c:pt>
                <c:pt idx="240">
                  <c:v>2151.3333333333298</c:v>
                </c:pt>
                <c:pt idx="241">
                  <c:v>2207.9166666666702</c:v>
                </c:pt>
                <c:pt idx="242">
                  <c:v>2184.1590909090901</c:v>
                </c:pt>
                <c:pt idx="243">
                  <c:v>2048.5052631578901</c:v>
                </c:pt>
                <c:pt idx="244">
                  <c:v>2002.52272727273</c:v>
                </c:pt>
                <c:pt idx="245">
                  <c:v>1885.5131578947401</c:v>
                </c:pt>
                <c:pt idx="246">
                  <c:v>1876.25</c:v>
                </c:pt>
                <c:pt idx="247">
                  <c:v>1843.3272727272699</c:v>
                </c:pt>
                <c:pt idx="248">
                  <c:v>2064.12</c:v>
                </c:pt>
                <c:pt idx="249">
                  <c:v>1974.30434782609</c:v>
                </c:pt>
                <c:pt idx="250">
                  <c:v>1948.82954545455</c:v>
                </c:pt>
                <c:pt idx="251">
                  <c:v>2086.7631578947398</c:v>
                </c:pt>
                <c:pt idx="252">
                  <c:v>2037.60681818182</c:v>
                </c:pt>
                <c:pt idx="253">
                  <c:v>2053.5949999999998</c:v>
                </c:pt>
                <c:pt idx="254">
                  <c:v>1911.2825</c:v>
                </c:pt>
                <c:pt idx="255">
                  <c:v>1861.0238095238101</c:v>
                </c:pt>
                <c:pt idx="256">
                  <c:v>1832.57142857143</c:v>
                </c:pt>
                <c:pt idx="257">
                  <c:v>1814.5374999999999</c:v>
                </c:pt>
                <c:pt idx="258">
                  <c:v>1769.6086956521699</c:v>
                </c:pt>
                <c:pt idx="259">
                  <c:v>1816.2357142857099</c:v>
                </c:pt>
                <c:pt idx="260">
                  <c:v>1761.30476190476</c:v>
                </c:pt>
                <c:pt idx="261">
                  <c:v>1814.5826086956499</c:v>
                </c:pt>
                <c:pt idx="262">
                  <c:v>1747.9642857142901</c:v>
                </c:pt>
                <c:pt idx="263">
                  <c:v>1739.81</c:v>
                </c:pt>
                <c:pt idx="264">
                  <c:v>1727.41136363636</c:v>
                </c:pt>
                <c:pt idx="265">
                  <c:v>1695.165</c:v>
                </c:pt>
                <c:pt idx="266">
                  <c:v>1705.36666666667</c:v>
                </c:pt>
                <c:pt idx="267">
                  <c:v>1810.675</c:v>
                </c:pt>
                <c:pt idx="268">
                  <c:v>1751.05</c:v>
                </c:pt>
                <c:pt idx="269">
                  <c:v>1838.9523809523801</c:v>
                </c:pt>
                <c:pt idx="270">
                  <c:v>1948.30434782609</c:v>
                </c:pt>
                <c:pt idx="271">
                  <c:v>2030.4925000000001</c:v>
                </c:pt>
                <c:pt idx="272">
                  <c:v>1990.4318181818201</c:v>
                </c:pt>
                <c:pt idx="273">
                  <c:v>1946.1891304347801</c:v>
                </c:pt>
                <c:pt idx="274">
                  <c:v>2055.5549999999998</c:v>
                </c:pt>
                <c:pt idx="275">
                  <c:v>1909.4595238095201</c:v>
                </c:pt>
                <c:pt idx="276">
                  <c:v>1814.7190476190499</c:v>
                </c:pt>
                <c:pt idx="277">
                  <c:v>1817.82</c:v>
                </c:pt>
                <c:pt idx="278">
                  <c:v>1773.8636363636399</c:v>
                </c:pt>
                <c:pt idx="279">
                  <c:v>1819.1875</c:v>
                </c:pt>
                <c:pt idx="280">
                  <c:v>1804.03947368421</c:v>
                </c:pt>
                <c:pt idx="281">
                  <c:v>1687.72727272727</c:v>
                </c:pt>
                <c:pt idx="282">
                  <c:v>1639.5</c:v>
                </c:pt>
                <c:pt idx="283">
                  <c:v>1548.125</c:v>
                </c:pt>
                <c:pt idx="284">
                  <c:v>1589.60227272727</c:v>
                </c:pt>
                <c:pt idx="285">
                  <c:v>1516.4886363636399</c:v>
                </c:pt>
                <c:pt idx="286">
                  <c:v>1467.8928571428601</c:v>
                </c:pt>
                <c:pt idx="287">
                  <c:v>1497.2023809523801</c:v>
                </c:pt>
                <c:pt idx="288">
                  <c:v>1481.1</c:v>
                </c:pt>
                <c:pt idx="289">
                  <c:v>1531.2619047619</c:v>
                </c:pt>
                <c:pt idx="290">
                  <c:v>1531.0119047619</c:v>
                </c:pt>
                <c:pt idx="291">
                  <c:v>1571.2261904761899</c:v>
                </c:pt>
                <c:pt idx="292">
                  <c:v>1550.625</c:v>
                </c:pt>
                <c:pt idx="293">
                  <c:v>1593.5068181818201</c:v>
                </c:pt>
                <c:pt idx="294">
                  <c:v>1629.0476190476199</c:v>
                </c:pt>
                <c:pt idx="295">
                  <c:v>1639.2840909090901</c:v>
                </c:pt>
                <c:pt idx="296">
                  <c:v>1592.3636363636399</c:v>
                </c:pt>
                <c:pt idx="297">
                  <c:v>1665.9047619047601</c:v>
                </c:pt>
                <c:pt idx="298">
                  <c:v>1737.1136363636399</c:v>
                </c:pt>
                <c:pt idx="299">
                  <c:v>1727.7375</c:v>
                </c:pt>
                <c:pt idx="300">
                  <c:v>1791.2380952381</c:v>
                </c:pt>
                <c:pt idx="301">
                  <c:v>1860.75</c:v>
                </c:pt>
                <c:pt idx="302">
                  <c:v>1901.46739130435</c:v>
                </c:pt>
                <c:pt idx="303">
                  <c:v>1921.2222222222199</c:v>
                </c:pt>
                <c:pt idx="304">
                  <c:v>1913.0238095238101</c:v>
                </c:pt>
                <c:pt idx="305">
                  <c:v>1885.28636363636</c:v>
                </c:pt>
                <c:pt idx="306">
                  <c:v>1902.9642857142901</c:v>
                </c:pt>
                <c:pt idx="307">
                  <c:v>2030.0113636363601</c:v>
                </c:pt>
                <c:pt idx="308">
                  <c:v>2096.4880952381</c:v>
                </c:pt>
                <c:pt idx="309">
                  <c:v>2131.4886363636401</c:v>
                </c:pt>
                <c:pt idx="310">
                  <c:v>2097.4409090909098</c:v>
                </c:pt>
                <c:pt idx="311">
                  <c:v>2080.4736842105299</c:v>
                </c:pt>
                <c:pt idx="312">
                  <c:v>2209.7272727272698</c:v>
                </c:pt>
                <c:pt idx="313">
                  <c:v>2181.7874999999999</c:v>
                </c:pt>
                <c:pt idx="314">
                  <c:v>2069.2380952381</c:v>
                </c:pt>
                <c:pt idx="315">
                  <c:v>2254.6875</c:v>
                </c:pt>
                <c:pt idx="316">
                  <c:v>2299.6666666666702</c:v>
                </c:pt>
                <c:pt idx="317">
                  <c:v>2237.61904761905</c:v>
                </c:pt>
                <c:pt idx="318">
                  <c:v>2082.2386363636401</c:v>
                </c:pt>
                <c:pt idx="319">
                  <c:v>2051.5113636363599</c:v>
                </c:pt>
                <c:pt idx="320">
                  <c:v>2026.4625000000001</c:v>
                </c:pt>
                <c:pt idx="321">
                  <c:v>2029.8586956521699</c:v>
                </c:pt>
                <c:pt idx="322">
                  <c:v>1938.5113636363601</c:v>
                </c:pt>
                <c:pt idx="323">
                  <c:v>1920.3815789473699</c:v>
                </c:pt>
                <c:pt idx="324">
                  <c:v>1853.7159090909099</c:v>
                </c:pt>
                <c:pt idx="325">
                  <c:v>1862.9875</c:v>
                </c:pt>
                <c:pt idx="326">
                  <c:v>1871.2142857142901</c:v>
                </c:pt>
                <c:pt idx="327">
                  <c:v>1845.425</c:v>
                </c:pt>
                <c:pt idx="328">
                  <c:v>1781.2619047619</c:v>
                </c:pt>
                <c:pt idx="329">
                  <c:v>1755.95</c:v>
                </c:pt>
                <c:pt idx="330">
                  <c:v>1796.98913043478</c:v>
                </c:pt>
                <c:pt idx="331">
                  <c:v>1740.67857142857</c:v>
                </c:pt>
                <c:pt idx="332">
                  <c:v>1753.5119047619</c:v>
                </c:pt>
                <c:pt idx="333">
                  <c:v>1725.95652173913</c:v>
                </c:pt>
                <c:pt idx="334">
                  <c:v>1774.7857142857099</c:v>
                </c:pt>
                <c:pt idx="335">
                  <c:v>1771.38</c:v>
                </c:pt>
                <c:pt idx="336">
                  <c:v>1773.0909090909099</c:v>
                </c:pt>
                <c:pt idx="337">
                  <c:v>1688.095</c:v>
                </c:pt>
                <c:pt idx="338">
                  <c:v>1610.8909090909101</c:v>
                </c:pt>
                <c:pt idx="339">
                  <c:v>1459.9345000000001</c:v>
                </c:pt>
                <c:pt idx="340">
                  <c:v>1466.3715789473699</c:v>
                </c:pt>
                <c:pt idx="341">
                  <c:v>1568.57045454545</c:v>
                </c:pt>
                <c:pt idx="342">
                  <c:v>1643.8121739130399</c:v>
                </c:pt>
                <c:pt idx="343">
                  <c:v>1738.5552380952399</c:v>
                </c:pt>
                <c:pt idx="344">
                  <c:v>1743.77454545455</c:v>
                </c:pt>
                <c:pt idx="345">
                  <c:v>1806.1018181818199</c:v>
                </c:pt>
                <c:pt idx="346">
                  <c:v>1935.2833333333299</c:v>
                </c:pt>
                <c:pt idx="347">
                  <c:v>2014.6719047618999</c:v>
                </c:pt>
                <c:pt idx="348">
                  <c:v>2003.9755</c:v>
                </c:pt>
                <c:pt idx="349">
                  <c:v>2078.5934999999999</c:v>
                </c:pt>
                <c:pt idx="350">
                  <c:v>2190.48260869565</c:v>
                </c:pt>
                <c:pt idx="351">
                  <c:v>2319.3924999999999</c:v>
                </c:pt>
                <c:pt idx="352">
                  <c:v>2434.7764999999999</c:v>
                </c:pt>
                <c:pt idx="353">
                  <c:v>2446.6454545454499</c:v>
                </c:pt>
                <c:pt idx="354">
                  <c:v>2497.6354545454501</c:v>
                </c:pt>
                <c:pt idx="355">
                  <c:v>2602.9919047619101</c:v>
                </c:pt>
                <c:pt idx="356">
                  <c:v>2834.5568181818198</c:v>
                </c:pt>
                <c:pt idx="357">
                  <c:v>2934.39380952381</c:v>
                </c:pt>
                <c:pt idx="358">
                  <c:v>2636.4522727272702</c:v>
                </c:pt>
                <c:pt idx="359">
                  <c:v>2695.5314285714298</c:v>
                </c:pt>
                <c:pt idx="360">
                  <c:v>3005.9805000000001</c:v>
                </c:pt>
                <c:pt idx="361">
                  <c:v>3245.7855</c:v>
                </c:pt>
                <c:pt idx="362">
                  <c:v>3498.3730434782601</c:v>
                </c:pt>
                <c:pt idx="363">
                  <c:v>3246.99047619048</c:v>
                </c:pt>
                <c:pt idx="364">
                  <c:v>2839.50545454545</c:v>
                </c:pt>
                <c:pt idx="365">
                  <c:v>2575.6695454545502</c:v>
                </c:pt>
                <c:pt idx="366">
                  <c:v>2408.42333333333</c:v>
                </c:pt>
                <c:pt idx="367">
                  <c:v>2433.9160869565198</c:v>
                </c:pt>
                <c:pt idx="368">
                  <c:v>2224.7559090909099</c:v>
                </c:pt>
                <c:pt idx="369">
                  <c:v>2255.5352380952399</c:v>
                </c:pt>
                <c:pt idx="370">
                  <c:v>2350.7163636363598</c:v>
                </c:pt>
                <c:pt idx="371">
                  <c:v>2398.2068181818199</c:v>
                </c:pt>
                <c:pt idx="372">
                  <c:v>2494.9009090909099</c:v>
                </c:pt>
                <c:pt idx="373">
                  <c:v>2416.1815000000001</c:v>
                </c:pt>
                <c:pt idx="374">
                  <c:v>2296.4169565217398</c:v>
                </c:pt>
                <c:pt idx="375">
                  <c:v>2338.1309999999999</c:v>
                </c:pt>
                <c:pt idx="376">
                  <c:v>2274.0126086956502</c:v>
                </c:pt>
                <c:pt idx="377">
                  <c:v>2184.75363636364</c:v>
                </c:pt>
                <c:pt idx="378">
                  <c:v>2159.73238095238</c:v>
                </c:pt>
                <c:pt idx="379">
                  <c:v>2135.5817391304299</c:v>
                </c:pt>
                <c:pt idx="380">
                  <c:v>2184.6738095238102</c:v>
                </c:pt>
                <c:pt idx="381">
                  <c:v>2194.3909090909101</c:v>
                </c:pt>
                <c:pt idx="382">
                  <c:v>2202.25545454545</c:v>
                </c:pt>
                <c:pt idx="383">
                  <c:v>2192.0052380952402</c:v>
                </c:pt>
                <c:pt idx="384">
                  <c:v>2201.5665217391302</c:v>
                </c:pt>
                <c:pt idx="385">
                  <c:v>2179.4571428571398</c:v>
                </c:pt>
                <c:pt idx="386">
                  <c:v>2229.4419047618999</c:v>
                </c:pt>
                <c:pt idx="387">
                  <c:v>2499.22818181818</c:v>
                </c:pt>
                <c:pt idx="388">
                  <c:v>2566.3186956521699</c:v>
                </c:pt>
                <c:pt idx="389">
                  <c:v>2497.6055000000001</c:v>
                </c:pt>
                <c:pt idx="390">
                  <c:v>2349.1252173912999</c:v>
                </c:pt>
                <c:pt idx="391">
                  <c:v>2352.46727272727</c:v>
                </c:pt>
                <c:pt idx="392">
                  <c:v>2457.4780952381002</c:v>
                </c:pt>
                <c:pt idx="393">
                  <c:v>2595.5830434782602</c:v>
                </c:pt>
                <c:pt idx="394">
                  <c:v>2582.18857142857</c:v>
                </c:pt>
                <c:pt idx="395">
                  <c:v>2540.88227272727</c:v>
                </c:pt>
                <c:pt idx="396">
                  <c:v>2571.3704347826101</c:v>
                </c:pt>
                <c:pt idx="397">
                  <c:v>2655.7725</c:v>
                </c:pt>
                <c:pt idx="398">
                  <c:v>2651.5985714285698</c:v>
                </c:pt>
                <c:pt idx="399">
                  <c:v>2367.8004545454601</c:v>
                </c:pt>
                <c:pt idx="400">
                  <c:v>2447.34409090909</c:v>
                </c:pt>
                <c:pt idx="401">
                  <c:v>2525.9590476190501</c:v>
                </c:pt>
                <c:pt idx="402">
                  <c:v>2606.3708695652199</c:v>
                </c:pt>
                <c:pt idx="403">
                  <c:v>2598.7357142857099</c:v>
                </c:pt>
                <c:pt idx="404">
                  <c:v>2654.4790909090898</c:v>
                </c:pt>
                <c:pt idx="405">
                  <c:v>2793.0869565217399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3-40D8-8995-CFF32115D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430095"/>
        <c:axId val="1746434255"/>
      </c:lineChart>
      <c:lineChart>
        <c:grouping val="standard"/>
        <c:varyColors val="0"/>
        <c:ser>
          <c:idx val="0"/>
          <c:order val="0"/>
          <c:tx>
            <c:strRef>
              <c:f>'dataset_2025-11-17T12_56_18.236'!$E$1</c:f>
              <c:strCache>
                <c:ptCount val="1"/>
                <c:pt idx="0">
                  <c:v>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'dataset_2025-11-17T12_56_18.236'!$E$2:$E$415</c:f>
              <c:numCache>
                <c:formatCode>General</c:formatCode>
                <c:ptCount val="414"/>
                <c:pt idx="0">
                  <c:v>73.634248011262699</c:v>
                </c:pt>
                <c:pt idx="1">
                  <c:v>79.214831102002506</c:v>
                </c:pt>
                <c:pt idx="2">
                  <c:v>79.917538502220296</c:v>
                </c:pt>
                <c:pt idx="3">
                  <c:v>82.105712701337893</c:v>
                </c:pt>
                <c:pt idx="4">
                  <c:v>81.456515344201406</c:v>
                </c:pt>
                <c:pt idx="5">
                  <c:v>79.496763282910095</c:v>
                </c:pt>
                <c:pt idx="6">
                  <c:v>81.932596449903897</c:v>
                </c:pt>
                <c:pt idx="7">
                  <c:v>81.384164165360204</c:v>
                </c:pt>
                <c:pt idx="8">
                  <c:v>79.181440591615996</c:v>
                </c:pt>
                <c:pt idx="9">
                  <c:v>73.610171535678603</c:v>
                </c:pt>
                <c:pt idx="10">
                  <c:v>72.449037082651799</c:v>
                </c:pt>
                <c:pt idx="11">
                  <c:v>75.367000912266604</c:v>
                </c:pt>
                <c:pt idx="12">
                  <c:v>75.309412174207097</c:v>
                </c:pt>
                <c:pt idx="13">
                  <c:v>75.000846723848099</c:v>
                </c:pt>
                <c:pt idx="14">
                  <c:v>71.717443999338201</c:v>
                </c:pt>
                <c:pt idx="15">
                  <c:v>69.211291391486498</c:v>
                </c:pt>
                <c:pt idx="16">
                  <c:v>70.155448403045099</c:v>
                </c:pt>
                <c:pt idx="17">
                  <c:v>72.815366289697593</c:v>
                </c:pt>
                <c:pt idx="18">
                  <c:v>75.002825195293099</c:v>
                </c:pt>
                <c:pt idx="19">
                  <c:v>73.106544019857694</c:v>
                </c:pt>
                <c:pt idx="20">
                  <c:v>69.624837580517394</c:v>
                </c:pt>
                <c:pt idx="21">
                  <c:v>67.911785689401896</c:v>
                </c:pt>
                <c:pt idx="22">
                  <c:v>64.831967676578302</c:v>
                </c:pt>
                <c:pt idx="23">
                  <c:v>68.031559306877696</c:v>
                </c:pt>
                <c:pt idx="24">
                  <c:v>72.934371347112304</c:v>
                </c:pt>
                <c:pt idx="25">
                  <c:v>79.200806783259793</c:v>
                </c:pt>
                <c:pt idx="26">
                  <c:v>80.271175053996203</c:v>
                </c:pt>
                <c:pt idx="27">
                  <c:v>79.622479924226198</c:v>
                </c:pt>
                <c:pt idx="28">
                  <c:v>82.3502365529245</c:v>
                </c:pt>
                <c:pt idx="29">
                  <c:v>87.419240194536002</c:v>
                </c:pt>
                <c:pt idx="30">
                  <c:v>93.003940027782903</c:v>
                </c:pt>
                <c:pt idx="31">
                  <c:v>90.829364015096203</c:v>
                </c:pt>
                <c:pt idx="32">
                  <c:v>97.937205309258502</c:v>
                </c:pt>
                <c:pt idx="33">
                  <c:v>105.615325778421</c:v>
                </c:pt>
                <c:pt idx="34">
                  <c:v>117.56062867909</c:v>
                </c:pt>
                <c:pt idx="35">
                  <c:v>117.092392973617</c:v>
                </c:pt>
                <c:pt idx="36">
                  <c:v>128.37429157027401</c:v>
                </c:pt>
                <c:pt idx="37">
                  <c:v>118.780166087271</c:v>
                </c:pt>
                <c:pt idx="38">
                  <c:v>112.205370657415</c:v>
                </c:pt>
                <c:pt idx="39">
                  <c:v>115.288947765983</c:v>
                </c:pt>
                <c:pt idx="40">
                  <c:v>110.05461239712299</c:v>
                </c:pt>
                <c:pt idx="41">
                  <c:v>110.69788194943</c:v>
                </c:pt>
                <c:pt idx="42">
                  <c:v>116.40045302376301</c:v>
                </c:pt>
                <c:pt idx="43">
                  <c:v>117.819892142941</c:v>
                </c:pt>
                <c:pt idx="44">
                  <c:v>109.82077229134001</c:v>
                </c:pt>
                <c:pt idx="45">
                  <c:v>104.224749513823</c:v>
                </c:pt>
                <c:pt idx="46">
                  <c:v>103.2257355767</c:v>
                </c:pt>
                <c:pt idx="47">
                  <c:v>103.34337853261999</c:v>
                </c:pt>
                <c:pt idx="48">
                  <c:v>98.771602812655004</c:v>
                </c:pt>
                <c:pt idx="49">
                  <c:v>99.400908922264307</c:v>
                </c:pt>
                <c:pt idx="50">
                  <c:v>100.665464165324</c:v>
                </c:pt>
                <c:pt idx="51">
                  <c:v>98.953865689769401</c:v>
                </c:pt>
                <c:pt idx="52">
                  <c:v>99.356385705247604</c:v>
                </c:pt>
                <c:pt idx="53">
                  <c:v>92.617301050403498</c:v>
                </c:pt>
                <c:pt idx="54">
                  <c:v>91.013476002061296</c:v>
                </c:pt>
                <c:pt idx="55">
                  <c:v>91.4351263145102</c:v>
                </c:pt>
                <c:pt idx="56">
                  <c:v>87.631081219752701</c:v>
                </c:pt>
                <c:pt idx="57">
                  <c:v>83.283679380658</c:v>
                </c:pt>
                <c:pt idx="58">
                  <c:v>90.454055591492505</c:v>
                </c:pt>
                <c:pt idx="59">
                  <c:v>93.566457507113199</c:v>
                </c:pt>
                <c:pt idx="60">
                  <c:v>98.189384323435704</c:v>
                </c:pt>
                <c:pt idx="61">
                  <c:v>98.620546517832494</c:v>
                </c:pt>
                <c:pt idx="62">
                  <c:v>101.683243143151</c:v>
                </c:pt>
                <c:pt idx="63">
                  <c:v>97.315249982018102</c:v>
                </c:pt>
                <c:pt idx="64">
                  <c:v>101.325786619586</c:v>
                </c:pt>
                <c:pt idx="65">
                  <c:v>97.694058778178302</c:v>
                </c:pt>
                <c:pt idx="66">
                  <c:v>99.214864120887995</c:v>
                </c:pt>
                <c:pt idx="67">
                  <c:v>106.597948840572</c:v>
                </c:pt>
                <c:pt idx="68">
                  <c:v>100.463606811399</c:v>
                </c:pt>
                <c:pt idx="69">
                  <c:v>100.195995719951</c:v>
                </c:pt>
                <c:pt idx="70">
                  <c:v>99.634893608653897</c:v>
                </c:pt>
                <c:pt idx="71">
                  <c:v>95.408368765340597</c:v>
                </c:pt>
                <c:pt idx="72">
                  <c:v>92.600156834382503</c:v>
                </c:pt>
                <c:pt idx="73">
                  <c:v>91.334718888678793</c:v>
                </c:pt>
                <c:pt idx="74">
                  <c:v>89.660543961456597</c:v>
                </c:pt>
                <c:pt idx="75">
                  <c:v>88.365915952434193</c:v>
                </c:pt>
                <c:pt idx="76">
                  <c:v>85.047448626314406</c:v>
                </c:pt>
                <c:pt idx="77">
                  <c:v>81.382528121665203</c:v>
                </c:pt>
                <c:pt idx="78">
                  <c:v>81.827790729859302</c:v>
                </c:pt>
                <c:pt idx="79">
                  <c:v>81.695849512997398</c:v>
                </c:pt>
                <c:pt idx="80">
                  <c:v>83.649262856158899</c:v>
                </c:pt>
                <c:pt idx="81">
                  <c:v>81.269123660340895</c:v>
                </c:pt>
                <c:pt idx="82">
                  <c:v>80.745209202703904</c:v>
                </c:pt>
                <c:pt idx="83">
                  <c:v>77.945946050281407</c:v>
                </c:pt>
                <c:pt idx="84">
                  <c:v>76.013824103669094</c:v>
                </c:pt>
                <c:pt idx="85">
                  <c:v>73.961374567576996</c:v>
                </c:pt>
                <c:pt idx="86">
                  <c:v>73.549241532905995</c:v>
                </c:pt>
                <c:pt idx="87">
                  <c:v>79.657424295647402</c:v>
                </c:pt>
                <c:pt idx="88">
                  <c:v>82.480145230802194</c:v>
                </c:pt>
                <c:pt idx="89">
                  <c:v>82.005831714936093</c:v>
                </c:pt>
                <c:pt idx="90">
                  <c:v>87.481576572290194</c:v>
                </c:pt>
                <c:pt idx="91">
                  <c:v>88.624018060794398</c:v>
                </c:pt>
                <c:pt idx="92">
                  <c:v>93.011157989690403</c:v>
                </c:pt>
                <c:pt idx="93">
                  <c:v>91.843282437104193</c:v>
                </c:pt>
                <c:pt idx="94">
                  <c:v>91.787084624424494</c:v>
                </c:pt>
                <c:pt idx="95">
                  <c:v>96.917642126186806</c:v>
                </c:pt>
                <c:pt idx="96">
                  <c:v>104.71692624568099</c:v>
                </c:pt>
                <c:pt idx="97">
                  <c:v>104.690432991132</c:v>
                </c:pt>
                <c:pt idx="98">
                  <c:v>98.470128508335506</c:v>
                </c:pt>
                <c:pt idx="99">
                  <c:v>90.933888487814798</c:v>
                </c:pt>
                <c:pt idx="100">
                  <c:v>91.514883527347195</c:v>
                </c:pt>
                <c:pt idx="101">
                  <c:v>94.089872642831594</c:v>
                </c:pt>
                <c:pt idx="102">
                  <c:v>97.518627352796003</c:v>
                </c:pt>
                <c:pt idx="103">
                  <c:v>95.396585743748105</c:v>
                </c:pt>
                <c:pt idx="104">
                  <c:v>99.883280190203607</c:v>
                </c:pt>
                <c:pt idx="105">
                  <c:v>93.583242277762594</c:v>
                </c:pt>
                <c:pt idx="106">
                  <c:v>91.981746291539906</c:v>
                </c:pt>
                <c:pt idx="107">
                  <c:v>97.810290627387403</c:v>
                </c:pt>
                <c:pt idx="108">
                  <c:v>100.97840217593</c:v>
                </c:pt>
                <c:pt idx="109">
                  <c:v>100.177540842692</c:v>
                </c:pt>
                <c:pt idx="110">
                  <c:v>94.264416437508402</c:v>
                </c:pt>
                <c:pt idx="111">
                  <c:v>93.473396805246907</c:v>
                </c:pt>
                <c:pt idx="112">
                  <c:v>96.148102352757107</c:v>
                </c:pt>
                <c:pt idx="113">
                  <c:v>91.687439763285596</c:v>
                </c:pt>
                <c:pt idx="114">
                  <c:v>88.432783583215794</c:v>
                </c:pt>
                <c:pt idx="115">
                  <c:v>85.890847898075705</c:v>
                </c:pt>
                <c:pt idx="116">
                  <c:v>83.905383898595204</c:v>
                </c:pt>
                <c:pt idx="117">
                  <c:v>80.011525953637104</c:v>
                </c:pt>
                <c:pt idx="118">
                  <c:v>83.185985781217198</c:v>
                </c:pt>
                <c:pt idx="119">
                  <c:v>84.075472426243806</c:v>
                </c:pt>
                <c:pt idx="120">
                  <c:v>85.486790347411997</c:v>
                </c:pt>
                <c:pt idx="121">
                  <c:v>85.469109287691197</c:v>
                </c:pt>
                <c:pt idx="122">
                  <c:v>87.582647630019295</c:v>
                </c:pt>
                <c:pt idx="123">
                  <c:v>85.425829550847595</c:v>
                </c:pt>
                <c:pt idx="124">
                  <c:v>83.807656374594998</c:v>
                </c:pt>
                <c:pt idx="125">
                  <c:v>84.587247544109402</c:v>
                </c:pt>
                <c:pt idx="126">
                  <c:v>83.398597074873706</c:v>
                </c:pt>
                <c:pt idx="127">
                  <c:v>80.624094138104994</c:v>
                </c:pt>
                <c:pt idx="128">
                  <c:v>81.144163403877002</c:v>
                </c:pt>
                <c:pt idx="129">
                  <c:v>81.752627408612497</c:v>
                </c:pt>
                <c:pt idx="130">
                  <c:v>85.605419679724804</c:v>
                </c:pt>
                <c:pt idx="131">
                  <c:v>85.767199217307393</c:v>
                </c:pt>
                <c:pt idx="132">
                  <c:v>85.979536546994595</c:v>
                </c:pt>
                <c:pt idx="133">
                  <c:v>88.614326130698501</c:v>
                </c:pt>
                <c:pt idx="134">
                  <c:v>86.431831115745595</c:v>
                </c:pt>
                <c:pt idx="135">
                  <c:v>83.175728499776497</c:v>
                </c:pt>
                <c:pt idx="136">
                  <c:v>87.296676323562096</c:v>
                </c:pt>
                <c:pt idx="137">
                  <c:v>87.927475519622007</c:v>
                </c:pt>
                <c:pt idx="138">
                  <c:v>89.820263843780694</c:v>
                </c:pt>
                <c:pt idx="139">
                  <c:v>90.8391361421331</c:v>
                </c:pt>
                <c:pt idx="140">
                  <c:v>88.305275941000403</c:v>
                </c:pt>
                <c:pt idx="141">
                  <c:v>92.085809774997799</c:v>
                </c:pt>
                <c:pt idx="142">
                  <c:v>94.227779241645095</c:v>
                </c:pt>
                <c:pt idx="143">
                  <c:v>97.107351115509005</c:v>
                </c:pt>
                <c:pt idx="144">
                  <c:v>100.293665897926</c:v>
                </c:pt>
                <c:pt idx="145">
                  <c:v>105.051987994391</c:v>
                </c:pt>
                <c:pt idx="146">
                  <c:v>103.31461321205001</c:v>
                </c:pt>
                <c:pt idx="147">
                  <c:v>107.947856559288</c:v>
                </c:pt>
                <c:pt idx="148">
                  <c:v>101.313322249482</c:v>
                </c:pt>
                <c:pt idx="149">
                  <c:v>104.85279272221899</c:v>
                </c:pt>
                <c:pt idx="150">
                  <c:v>106.46179749181699</c:v>
                </c:pt>
                <c:pt idx="151">
                  <c:v>105.478774288263</c:v>
                </c:pt>
                <c:pt idx="152">
                  <c:v>107.90546735201001</c:v>
                </c:pt>
                <c:pt idx="153">
                  <c:v>114.099100474344</c:v>
                </c:pt>
                <c:pt idx="154">
                  <c:v>113.287706605073</c:v>
                </c:pt>
                <c:pt idx="155">
                  <c:v>115.50494981378201</c:v>
                </c:pt>
                <c:pt idx="156">
                  <c:v>114.461768639559</c:v>
                </c:pt>
                <c:pt idx="157">
                  <c:v>117.366676079538</c:v>
                </c:pt>
                <c:pt idx="158">
                  <c:v>123.8949256858</c:v>
                </c:pt>
                <c:pt idx="159">
                  <c:v>117.940993437958</c:v>
                </c:pt>
                <c:pt idx="160">
                  <c:v>108.556889728572</c:v>
                </c:pt>
                <c:pt idx="161">
                  <c:v>107.96426254258699</c:v>
                </c:pt>
                <c:pt idx="162">
                  <c:v>111.163321342789</c:v>
                </c:pt>
                <c:pt idx="163">
                  <c:v>116.64965810481399</c:v>
                </c:pt>
                <c:pt idx="164">
                  <c:v>114.55640764511401</c:v>
                </c:pt>
                <c:pt idx="165">
                  <c:v>120.56879776172801</c:v>
                </c:pt>
                <c:pt idx="166">
                  <c:v>128.22551024090299</c:v>
                </c:pt>
                <c:pt idx="167">
                  <c:v>140.31450979932899</c:v>
                </c:pt>
                <c:pt idx="168">
                  <c:v>148.568086226357</c:v>
                </c:pt>
                <c:pt idx="169">
                  <c:v>152.93620795189901</c:v>
                </c:pt>
                <c:pt idx="170">
                  <c:v>151.633566471828</c:v>
                </c:pt>
                <c:pt idx="171">
                  <c:v>163.56363935517001</c:v>
                </c:pt>
                <c:pt idx="172">
                  <c:v>177.78977494010101</c:v>
                </c:pt>
                <c:pt idx="173">
                  <c:v>155.278806689709</c:v>
                </c:pt>
                <c:pt idx="174">
                  <c:v>156.580329141357</c:v>
                </c:pt>
                <c:pt idx="175">
                  <c:v>153.44595517044399</c:v>
                </c:pt>
                <c:pt idx="176">
                  <c:v>154.86902816123501</c:v>
                </c:pt>
                <c:pt idx="177">
                  <c:v>165.63880261969601</c:v>
                </c:pt>
                <c:pt idx="178">
                  <c:v>168.44326237264099</c:v>
                </c:pt>
                <c:pt idx="179">
                  <c:v>176.01937873053299</c:v>
                </c:pt>
                <c:pt idx="180">
                  <c:v>174.48514116143099</c:v>
                </c:pt>
                <c:pt idx="181">
                  <c:v>176.97805724189701</c:v>
                </c:pt>
                <c:pt idx="182">
                  <c:v>171.86825931769999</c:v>
                </c:pt>
                <c:pt idx="183">
                  <c:v>175.60680575721301</c:v>
                </c:pt>
                <c:pt idx="184">
                  <c:v>174.830842039864</c:v>
                </c:pt>
                <c:pt idx="185">
                  <c:v>167.14497821031901</c:v>
                </c:pt>
                <c:pt idx="186">
                  <c:v>170.684563372469</c:v>
                </c:pt>
                <c:pt idx="187">
                  <c:v>156.62826256982001</c:v>
                </c:pt>
                <c:pt idx="188">
                  <c:v>149.29494387812699</c:v>
                </c:pt>
                <c:pt idx="189">
                  <c:v>152.38499919037099</c:v>
                </c:pt>
                <c:pt idx="190">
                  <c:v>156.28852554089499</c:v>
                </c:pt>
                <c:pt idx="191">
                  <c:v>148.53884717231699</c:v>
                </c:pt>
                <c:pt idx="192">
                  <c:v>153.107634893099</c:v>
                </c:pt>
                <c:pt idx="193">
                  <c:v>173.602059662203</c:v>
                </c:pt>
                <c:pt idx="194">
                  <c:v>187.76253431506501</c:v>
                </c:pt>
                <c:pt idx="195">
                  <c:v>185.018547484831</c:v>
                </c:pt>
                <c:pt idx="196">
                  <c:v>181.29349672260801</c:v>
                </c:pt>
                <c:pt idx="197">
                  <c:v>185.00825916978499</c:v>
                </c:pt>
                <c:pt idx="198">
                  <c:v>191.216250468071</c:v>
                </c:pt>
                <c:pt idx="199">
                  <c:v>172.209894793742</c:v>
                </c:pt>
                <c:pt idx="200">
                  <c:v>157.347972372546</c:v>
                </c:pt>
                <c:pt idx="201">
                  <c:v>132.281023237032</c:v>
                </c:pt>
                <c:pt idx="202">
                  <c:v>115.768041931507</c:v>
                </c:pt>
                <c:pt idx="203">
                  <c:v>93.780926348249196</c:v>
                </c:pt>
                <c:pt idx="204">
                  <c:v>88.541050389684997</c:v>
                </c:pt>
                <c:pt idx="205">
                  <c:v>83.410895094568801</c:v>
                </c:pt>
                <c:pt idx="206">
                  <c:v>83.411957658253897</c:v>
                </c:pt>
                <c:pt idx="207">
                  <c:v>89.254995362766905</c:v>
                </c:pt>
                <c:pt idx="208">
                  <c:v>91.427975381787704</c:v>
                </c:pt>
                <c:pt idx="209">
                  <c:v>98.469335127450606</c:v>
                </c:pt>
                <c:pt idx="210">
                  <c:v>104.13759804518099</c:v>
                </c:pt>
                <c:pt idx="211">
                  <c:v>120.163272861213</c:v>
                </c:pt>
                <c:pt idx="212">
                  <c:v>114.425783149423</c:v>
                </c:pt>
                <c:pt idx="213">
                  <c:v>116.923374510103</c:v>
                </c:pt>
                <c:pt idx="214">
                  <c:v>121.96544496233101</c:v>
                </c:pt>
                <c:pt idx="215">
                  <c:v>135.97317817152501</c:v>
                </c:pt>
                <c:pt idx="216">
                  <c:v>139.01867796652701</c:v>
                </c:pt>
                <c:pt idx="217">
                  <c:v>127.99483474861999</c:v>
                </c:pt>
                <c:pt idx="218">
                  <c:v>137.79798940558001</c:v>
                </c:pt>
                <c:pt idx="219">
                  <c:v>144.26527742330501</c:v>
                </c:pt>
                <c:pt idx="220">
                  <c:v>127.461262242449</c:v>
                </c:pt>
                <c:pt idx="221">
                  <c:v>120.273708646887</c:v>
                </c:pt>
                <c:pt idx="222">
                  <c:v>123.99126479325101</c:v>
                </c:pt>
                <c:pt idx="223">
                  <c:v>131.55867469782299</c:v>
                </c:pt>
                <c:pt idx="224">
                  <c:v>135.348937185994</c:v>
                </c:pt>
                <c:pt idx="225">
                  <c:v>146.00454845283801</c:v>
                </c:pt>
                <c:pt idx="226">
                  <c:v>144.874183084946</c:v>
                </c:pt>
                <c:pt idx="227">
                  <c:v>146.90784227461</c:v>
                </c:pt>
                <c:pt idx="228">
                  <c:v>152.08374852611101</c:v>
                </c:pt>
                <c:pt idx="229">
                  <c:v>156.79393749960499</c:v>
                </c:pt>
                <c:pt idx="230">
                  <c:v>159.30238117738901</c:v>
                </c:pt>
                <c:pt idx="231">
                  <c:v>166.27893820866899</c:v>
                </c:pt>
                <c:pt idx="232">
                  <c:v>161.279245494778</c:v>
                </c:pt>
                <c:pt idx="233">
                  <c:v>159.44334795961601</c:v>
                </c:pt>
                <c:pt idx="234">
                  <c:v>157.42781644374301</c:v>
                </c:pt>
                <c:pt idx="235">
                  <c:v>148.423004118112</c:v>
                </c:pt>
                <c:pt idx="236">
                  <c:v>142.96766048351199</c:v>
                </c:pt>
                <c:pt idx="237">
                  <c:v>135.935182243432</c:v>
                </c:pt>
                <c:pt idx="238">
                  <c:v>129.65997121582399</c:v>
                </c:pt>
                <c:pt idx="239">
                  <c:v>126.193605124624</c:v>
                </c:pt>
                <c:pt idx="240">
                  <c:v>134.10781557671299</c:v>
                </c:pt>
                <c:pt idx="241">
                  <c:v>137.635054760808</c:v>
                </c:pt>
                <c:pt idx="242">
                  <c:v>136.15407710900399</c:v>
                </c:pt>
                <c:pt idx="243">
                  <c:v>127.697815016814</c:v>
                </c:pt>
                <c:pt idx="244">
                  <c:v>124.83139848029199</c:v>
                </c:pt>
                <c:pt idx="245">
                  <c:v>117.537364818599</c:v>
                </c:pt>
                <c:pt idx="246">
                  <c:v>116.95992670087099</c:v>
                </c:pt>
                <c:pt idx="247">
                  <c:v>114.907620361838</c:v>
                </c:pt>
                <c:pt idx="248">
                  <c:v>128.67119195299301</c:v>
                </c:pt>
                <c:pt idx="249">
                  <c:v>123.07234739877499</c:v>
                </c:pt>
                <c:pt idx="250">
                  <c:v>121.484322872142</c:v>
                </c:pt>
                <c:pt idx="251">
                  <c:v>130.08270006099801</c:v>
                </c:pt>
                <c:pt idx="252">
                  <c:v>127.018437894599</c:v>
                </c:pt>
                <c:pt idx="253">
                  <c:v>128.01509429621601</c:v>
                </c:pt>
                <c:pt idx="254">
                  <c:v>119.14375008909199</c:v>
                </c:pt>
                <c:pt idx="255">
                  <c:v>116.010770606519</c:v>
                </c:pt>
                <c:pt idx="256">
                  <c:v>114.237132556869</c:v>
                </c:pt>
                <c:pt idx="257">
                  <c:v>113.112950297659</c:v>
                </c:pt>
                <c:pt idx="258">
                  <c:v>110.312220297243</c:v>
                </c:pt>
                <c:pt idx="259">
                  <c:v>113.21881199966001</c:v>
                </c:pt>
                <c:pt idx="260">
                  <c:v>109.79457740188001</c:v>
                </c:pt>
                <c:pt idx="261">
                  <c:v>113.115762241556</c:v>
                </c:pt>
                <c:pt idx="262">
                  <c:v>108.96297121006501</c:v>
                </c:pt>
                <c:pt idx="263">
                  <c:v>108.454656934547</c:v>
                </c:pt>
                <c:pt idx="264">
                  <c:v>107.68176227750099</c:v>
                </c:pt>
                <c:pt idx="265">
                  <c:v>105.67161846549401</c:v>
                </c:pt>
                <c:pt idx="266">
                  <c:v>106.30756046979</c:v>
                </c:pt>
                <c:pt idx="267">
                  <c:v>112.872173366609</c:v>
                </c:pt>
                <c:pt idx="268">
                  <c:v>109.155325596035</c:v>
                </c:pt>
                <c:pt idx="269">
                  <c:v>114.63490242909199</c:v>
                </c:pt>
                <c:pt idx="270">
                  <c:v>121.451583591061</c:v>
                </c:pt>
                <c:pt idx="271">
                  <c:v>126.57495214745801</c:v>
                </c:pt>
                <c:pt idx="272">
                  <c:v>124.077686639642</c:v>
                </c:pt>
                <c:pt idx="273">
                  <c:v>121.319727137474</c:v>
                </c:pt>
                <c:pt idx="274">
                  <c:v>128.13727495249</c:v>
                </c:pt>
                <c:pt idx="275">
                  <c:v>119.03011109555899</c:v>
                </c:pt>
                <c:pt idx="276">
                  <c:v>113.12426744421001</c:v>
                </c:pt>
                <c:pt idx="277">
                  <c:v>113.317571728383</c:v>
                </c:pt>
                <c:pt idx="278">
                  <c:v>110.577460832209</c:v>
                </c:pt>
                <c:pt idx="279">
                  <c:v>113.402817670961</c:v>
                </c:pt>
                <c:pt idx="280">
                  <c:v>112.45853410130999</c:v>
                </c:pt>
                <c:pt idx="281">
                  <c:v>105.207972343368</c:v>
                </c:pt>
                <c:pt idx="282">
                  <c:v>102.20162549024801</c:v>
                </c:pt>
                <c:pt idx="283">
                  <c:v>96.505575762177997</c:v>
                </c:pt>
                <c:pt idx="284">
                  <c:v>99.091147395986795</c:v>
                </c:pt>
                <c:pt idx="285">
                  <c:v>94.533457562582399</c:v>
                </c:pt>
                <c:pt idx="286">
                  <c:v>91.504139094556294</c:v>
                </c:pt>
                <c:pt idx="287">
                  <c:v>93.331208918086901</c:v>
                </c:pt>
                <c:pt idx="288">
                  <c:v>92.327433677100899</c:v>
                </c:pt>
                <c:pt idx="289">
                  <c:v>95.454379821872905</c:v>
                </c:pt>
                <c:pt idx="290">
                  <c:v>95.438795554490994</c:v>
                </c:pt>
                <c:pt idx="291">
                  <c:v>97.945636279059002</c:v>
                </c:pt>
                <c:pt idx="292">
                  <c:v>96.661418435996595</c:v>
                </c:pt>
                <c:pt idx="293">
                  <c:v>99.334545317459899</c:v>
                </c:pt>
                <c:pt idx="294">
                  <c:v>101.550054692092</c:v>
                </c:pt>
                <c:pt idx="295">
                  <c:v>102.188166350237</c:v>
                </c:pt>
                <c:pt idx="296">
                  <c:v>99.2632827129774</c:v>
                </c:pt>
                <c:pt idx="297">
                  <c:v>103.847620968961</c:v>
                </c:pt>
                <c:pt idx="298">
                  <c:v>108.28657352707501</c:v>
                </c:pt>
                <c:pt idx="299">
                  <c:v>107.70209266267599</c:v>
                </c:pt>
                <c:pt idx="300">
                  <c:v>111.660533683068</c:v>
                </c:pt>
                <c:pt idx="301">
                  <c:v>115.993702123196</c:v>
                </c:pt>
                <c:pt idx="302">
                  <c:v>118.531904975911</c:v>
                </c:pt>
                <c:pt idx="303">
                  <c:v>119.763363244342</c:v>
                </c:pt>
                <c:pt idx="304">
                  <c:v>119.25229822194601</c:v>
                </c:pt>
                <c:pt idx="305">
                  <c:v>117.523227129147</c:v>
                </c:pt>
                <c:pt idx="306">
                  <c:v>118.625216986819</c:v>
                </c:pt>
                <c:pt idx="307">
                  <c:v>126.544959516506</c:v>
                </c:pt>
                <c:pt idx="308">
                  <c:v>130.68892415632101</c:v>
                </c:pt>
                <c:pt idx="309">
                  <c:v>132.87075532196201</c:v>
                </c:pt>
                <c:pt idx="310">
                  <c:v>130.74831977970999</c:v>
                </c:pt>
                <c:pt idx="311">
                  <c:v>129.690632702654</c:v>
                </c:pt>
                <c:pt idx="312">
                  <c:v>137.74792263669499</c:v>
                </c:pt>
                <c:pt idx="313">
                  <c:v>136.00623908161401</c:v>
                </c:pt>
                <c:pt idx="314">
                  <c:v>128.99023901169801</c:v>
                </c:pt>
                <c:pt idx="315">
                  <c:v>140.55061145016401</c:v>
                </c:pt>
                <c:pt idx="316">
                  <c:v>143.35448088995099</c:v>
                </c:pt>
                <c:pt idx="317">
                  <c:v>139.48661414736699</c:v>
                </c:pt>
                <c:pt idx="318">
                  <c:v>129.800654647735</c:v>
                </c:pt>
                <c:pt idx="319">
                  <c:v>127.885206511346</c:v>
                </c:pt>
                <c:pt idx="320">
                  <c:v>126.323733757263</c:v>
                </c:pt>
                <c:pt idx="321">
                  <c:v>126.53544264176099</c:v>
                </c:pt>
                <c:pt idx="322">
                  <c:v>120.84111765474501</c:v>
                </c:pt>
                <c:pt idx="323">
                  <c:v>119.710960006069</c:v>
                </c:pt>
                <c:pt idx="324">
                  <c:v>115.555217509134</c:v>
                </c:pt>
                <c:pt idx="325">
                  <c:v>116.133181316264</c:v>
                </c:pt>
                <c:pt idx="326">
                  <c:v>116.646015029322</c:v>
                </c:pt>
                <c:pt idx="327">
                  <c:v>115.03838653268799</c:v>
                </c:pt>
                <c:pt idx="328">
                  <c:v>111.038647203734</c:v>
                </c:pt>
                <c:pt idx="329">
                  <c:v>109.46077723672001</c:v>
                </c:pt>
                <c:pt idx="330">
                  <c:v>112.019036363979</c:v>
                </c:pt>
                <c:pt idx="331">
                  <c:v>108.508801132079</c:v>
                </c:pt>
                <c:pt idx="332">
                  <c:v>109.308793524348</c:v>
                </c:pt>
                <c:pt idx="333">
                  <c:v>107.59107169700199</c:v>
                </c:pt>
                <c:pt idx="334">
                  <c:v>110.634940467747</c:v>
                </c:pt>
                <c:pt idx="335">
                  <c:v>110.422638219528</c:v>
                </c:pt>
                <c:pt idx="336">
                  <c:v>110.529291278483</c:v>
                </c:pt>
                <c:pt idx="337">
                  <c:v>105.23089538393501</c:v>
                </c:pt>
                <c:pt idx="338">
                  <c:v>100.418218601131</c:v>
                </c:pt>
                <c:pt idx="339">
                  <c:v>91.008038432017699</c:v>
                </c:pt>
                <c:pt idx="340">
                  <c:v>91.409307069913496</c:v>
                </c:pt>
                <c:pt idx="341">
                  <c:v>97.780085483698201</c:v>
                </c:pt>
                <c:pt idx="342">
                  <c:v>102.47043377528</c:v>
                </c:pt>
                <c:pt idx="343">
                  <c:v>108.376438754449</c:v>
                </c:pt>
                <c:pt idx="344">
                  <c:v>108.701795080191</c:v>
                </c:pt>
                <c:pt idx="345">
                  <c:v>112.587094613647</c:v>
                </c:pt>
                <c:pt idx="346">
                  <c:v>120.639891705308</c:v>
                </c:pt>
                <c:pt idx="347">
                  <c:v>125.58874260213599</c:v>
                </c:pt>
                <c:pt idx="348">
                  <c:v>124.921960074799</c:v>
                </c:pt>
                <c:pt idx="349">
                  <c:v>129.57342752879799</c:v>
                </c:pt>
                <c:pt idx="350">
                  <c:v>136.54826667692299</c:v>
                </c:pt>
                <c:pt idx="351">
                  <c:v>144.58413153393801</c:v>
                </c:pt>
                <c:pt idx="352">
                  <c:v>151.776831964293</c:v>
                </c:pt>
                <c:pt idx="353">
                  <c:v>152.516707809011</c:v>
                </c:pt>
                <c:pt idx="354">
                  <c:v>155.69527498421499</c:v>
                </c:pt>
                <c:pt idx="355">
                  <c:v>162.262887346523</c:v>
                </c:pt>
                <c:pt idx="356">
                  <c:v>176.69796545449699</c:v>
                </c:pt>
                <c:pt idx="357">
                  <c:v>182.92151092519401</c:v>
                </c:pt>
                <c:pt idx="358">
                  <c:v>164.34870863079399</c:v>
                </c:pt>
                <c:pt idx="359">
                  <c:v>168.03153007627401</c:v>
                </c:pt>
                <c:pt idx="360">
                  <c:v>187.38401542664801</c:v>
                </c:pt>
                <c:pt idx="361">
                  <c:v>202.332756384677</c:v>
                </c:pt>
                <c:pt idx="362">
                  <c:v>218.078323644249</c:v>
                </c:pt>
                <c:pt idx="363">
                  <c:v>202.40787106924199</c:v>
                </c:pt>
                <c:pt idx="364">
                  <c:v>177.00644894356299</c:v>
                </c:pt>
                <c:pt idx="365">
                  <c:v>160.559691534726</c:v>
                </c:pt>
                <c:pt idx="366">
                  <c:v>150.13405278152399</c:v>
                </c:pt>
                <c:pt idx="367">
                  <c:v>151.72319633657901</c:v>
                </c:pt>
                <c:pt idx="368">
                  <c:v>138.68476378659699</c:v>
                </c:pt>
                <c:pt idx="369">
                  <c:v>140.60345695874801</c:v>
                </c:pt>
                <c:pt idx="370">
                  <c:v>146.536769399306</c:v>
                </c:pt>
                <c:pt idx="371">
                  <c:v>149.497185166196</c:v>
                </c:pt>
                <c:pt idx="372">
                  <c:v>155.524811434089</c:v>
                </c:pt>
                <c:pt idx="373">
                  <c:v>150.61767415643001</c:v>
                </c:pt>
                <c:pt idx="374">
                  <c:v>143.15190348270301</c:v>
                </c:pt>
                <c:pt idx="375">
                  <c:v>145.75223471127799</c:v>
                </c:pt>
                <c:pt idx="376">
                  <c:v>141.75528209455101</c:v>
                </c:pt>
                <c:pt idx="377">
                  <c:v>136.191139330341</c:v>
                </c:pt>
                <c:pt idx="378">
                  <c:v>134.63138759210599</c:v>
                </c:pt>
                <c:pt idx="379">
                  <c:v>133.12590735371899</c:v>
                </c:pt>
                <c:pt idx="380">
                  <c:v>136.18616315907701</c:v>
                </c:pt>
                <c:pt idx="381">
                  <c:v>136.79189867039599</c:v>
                </c:pt>
                <c:pt idx="382">
                  <c:v>137.28215138719801</c:v>
                </c:pt>
                <c:pt idx="383">
                  <c:v>136.64318293167</c:v>
                </c:pt>
                <c:pt idx="384">
                  <c:v>137.23920533495101</c:v>
                </c:pt>
                <c:pt idx="385">
                  <c:v>135.860971446375</c:v>
                </c:pt>
                <c:pt idx="386">
                  <c:v>138.976875024545</c:v>
                </c:pt>
                <c:pt idx="387">
                  <c:v>155.79456093495301</c:v>
                </c:pt>
                <c:pt idx="388">
                  <c:v>159.976786960455</c:v>
                </c:pt>
                <c:pt idx="389">
                  <c:v>155.69340770563301</c:v>
                </c:pt>
                <c:pt idx="390">
                  <c:v>146.437582005199</c:v>
                </c:pt>
                <c:pt idx="391">
                  <c:v>146.64591594104201</c:v>
                </c:pt>
                <c:pt idx="392">
                  <c:v>153.19198288503401</c:v>
                </c:pt>
                <c:pt idx="393">
                  <c:v>161.801040645565</c:v>
                </c:pt>
                <c:pt idx="394">
                  <c:v>160.96606851012001</c:v>
                </c:pt>
                <c:pt idx="395">
                  <c:v>158.39115489605601</c:v>
                </c:pt>
                <c:pt idx="396">
                  <c:v>160.29169757386401</c:v>
                </c:pt>
                <c:pt idx="397">
                  <c:v>165.55307498158001</c:v>
                </c:pt>
                <c:pt idx="398">
                  <c:v>165.29288450601999</c:v>
                </c:pt>
                <c:pt idx="399">
                  <c:v>147.601741562119</c:v>
                </c:pt>
                <c:pt idx="400">
                  <c:v>152.56025875258501</c:v>
                </c:pt>
                <c:pt idx="401">
                  <c:v>157.46088477491099</c:v>
                </c:pt>
                <c:pt idx="402">
                  <c:v>162.47352211039799</c:v>
                </c:pt>
                <c:pt idx="403">
                  <c:v>161.997568904887</c:v>
                </c:pt>
                <c:pt idx="404">
                  <c:v>165.472447649153</c:v>
                </c:pt>
                <c:pt idx="405">
                  <c:v>174.112855804899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3-40D8-8995-CFF32115D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970143"/>
        <c:axId val="1732567183"/>
      </c:lineChart>
      <c:catAx>
        <c:axId val="17464300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6434255"/>
        <c:crosses val="autoZero"/>
        <c:auto val="1"/>
        <c:lblAlgn val="ctr"/>
        <c:lblOffset val="100"/>
        <c:noMultiLvlLbl val="0"/>
      </c:catAx>
      <c:valAx>
        <c:axId val="17464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6430095"/>
        <c:crosses val="autoZero"/>
        <c:crossBetween val="between"/>
      </c:valAx>
      <c:valAx>
        <c:axId val="1732567183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6970143"/>
        <c:crosses val="max"/>
        <c:crossBetween val="between"/>
      </c:valAx>
      <c:catAx>
        <c:axId val="1746970143"/>
        <c:scaling>
          <c:orientation val="minMax"/>
        </c:scaling>
        <c:delete val="1"/>
        <c:axPos val="b"/>
        <c:majorTickMark val="out"/>
        <c:minorTickMark val="none"/>
        <c:tickLblPos val="nextTo"/>
        <c:crossAx val="17325671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44</xdr:row>
      <xdr:rowOff>76200</xdr:rowOff>
    </xdr:from>
    <xdr:to>
      <xdr:col>7</xdr:col>
      <xdr:colOff>581024</xdr:colOff>
      <xdr:row>57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3DBBFA7-501D-4611-BB6C-FBB9853E7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300037</xdr:colOff>
      <xdr:row>43</xdr:row>
      <xdr:rowOff>42862</xdr:rowOff>
    </xdr:from>
    <xdr:to>
      <xdr:col>14</xdr:col>
      <xdr:colOff>452437</xdr:colOff>
      <xdr:row>57</xdr:row>
      <xdr:rowOff>119062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58248F3-5ACE-49AA-95CD-0249C87F1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821391</xdr:colOff>
      <xdr:row>1</xdr:row>
      <xdr:rowOff>103655</xdr:rowOff>
    </xdr:from>
    <xdr:to>
      <xdr:col>15</xdr:col>
      <xdr:colOff>695886</xdr:colOff>
      <xdr:row>27</xdr:row>
      <xdr:rowOff>103655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3772AB-E21C-41BF-A760-136400A25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1109662</xdr:colOff>
      <xdr:row>33</xdr:row>
      <xdr:rowOff>33337</xdr:rowOff>
    </xdr:from>
    <xdr:to>
      <xdr:col>16</xdr:col>
      <xdr:colOff>109537</xdr:colOff>
      <xdr:row>47</xdr:row>
      <xdr:rowOff>109537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2DB10BE-A2E7-4B43-86EC-CF456EAF4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VONNEAUX ALEXAN" refreshedDate="45978.666564236111" createdVersion="7" refreshedVersion="7" minRefreshableVersion="3" recordCount="415">
  <cacheSource type="worksheet">
    <worksheetSource ref="A1:D1048576" sheet="dataset_2025-11-17T12_56_18.236"/>
  </cacheSource>
  <cacheFields count="4">
    <cacheField name="Année" numFmtId="0">
      <sharedItems containsBlank="1" count="36"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m/>
        <s v="TOTAL"/>
      </sharedItems>
    </cacheField>
    <cacheField name="Mois" numFmtId="0">
      <sharedItems containsBlank="1" count="13">
        <s v="Janvier"/>
        <s v="février"/>
        <s v="Mars"/>
        <s v="Avril"/>
        <s v="Mai"/>
        <s v="Juin"/>
        <s v="Juillet"/>
        <s v="Août"/>
        <s v="Septembre"/>
        <s v="Octobre"/>
        <s v="Novembre"/>
        <s v="Décembre"/>
        <m/>
      </sharedItems>
    </cacheField>
    <cacheField name="DATA_TRANSFORMATION" numFmtId="0">
      <sharedItems containsBlank="1"/>
    </cacheField>
    <cacheField name="US dollars" numFmtId="0">
      <sharedItems containsString="0" containsBlank="1" containsNumber="1" minValue="1040.02270507813" maxValue="3498.3730434782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5">
  <r>
    <x v="0"/>
    <x v="0"/>
    <s v="1992-Janvier"/>
    <n v="1181.22729492188"/>
  </r>
  <r>
    <x v="0"/>
    <x v="1"/>
    <s v="1992-février"/>
    <n v="1270.75"/>
  </r>
  <r>
    <x v="0"/>
    <x v="2"/>
    <s v="1992-Mars"/>
    <n v="1282.02270507813"/>
  </r>
  <r>
    <x v="0"/>
    <x v="3"/>
    <s v="1992-Avril"/>
    <n v="1317.125"/>
  </r>
  <r>
    <x v="0"/>
    <x v="4"/>
    <s v="1992-Mai"/>
    <n v="1306.71069335938"/>
  </r>
  <r>
    <x v="0"/>
    <x v="5"/>
    <s v="1992-Juin"/>
    <n v="1275.27270507813"/>
  </r>
  <r>
    <x v="0"/>
    <x v="6"/>
    <s v="1992-Juillet"/>
    <n v="1314.34790039063"/>
  </r>
  <r>
    <x v="0"/>
    <x v="7"/>
    <s v="1992-Août"/>
    <n v="1305.55004882813"/>
  </r>
  <r>
    <x v="0"/>
    <x v="8"/>
    <s v="1992-Septembre"/>
    <n v="1270.21435546875"/>
  </r>
  <r>
    <x v="0"/>
    <x v="9"/>
    <s v="1992-Octobre"/>
    <n v="1180.84106445313"/>
  </r>
  <r>
    <x v="0"/>
    <x v="10"/>
    <s v="1992-Novembre"/>
    <n v="1162.21435546875"/>
  </r>
  <r>
    <x v="0"/>
    <x v="11"/>
    <s v="1992-Décembre"/>
    <n v="1209.02380371094"/>
  </r>
  <r>
    <x v="1"/>
    <x v="0"/>
    <s v="1993-Janvier"/>
    <n v="1208.09997558594"/>
  </r>
  <r>
    <x v="1"/>
    <x v="1"/>
    <s v="1993-février"/>
    <n v="1203.15002441406"/>
  </r>
  <r>
    <x v="1"/>
    <x v="2"/>
    <s v="1993-Mars"/>
    <n v="1150.47827148438"/>
  </r>
  <r>
    <x v="1"/>
    <x v="3"/>
    <s v="1993-Avril"/>
    <n v="1110.27502441406"/>
  </r>
  <r>
    <x v="1"/>
    <x v="4"/>
    <s v="1993-Mai"/>
    <n v="1125.42102050781"/>
  </r>
  <r>
    <x v="1"/>
    <x v="5"/>
    <s v="1993-Juin"/>
    <n v="1168.09094238281"/>
  </r>
  <r>
    <x v="1"/>
    <x v="6"/>
    <s v="1993-Juillet"/>
    <n v="1203.18176269531"/>
  </r>
  <r>
    <x v="1"/>
    <x v="7"/>
    <s v="1993-Août"/>
    <n v="1172.76196289063"/>
  </r>
  <r>
    <x v="1"/>
    <x v="8"/>
    <s v="1993-Septembre"/>
    <n v="1116.90905761719"/>
  </r>
  <r>
    <x v="1"/>
    <x v="9"/>
    <s v="1993-Octobre"/>
    <n v="1089.42858886719"/>
  </r>
  <r>
    <x v="1"/>
    <x v="10"/>
    <s v="1993-Novembre"/>
    <n v="1040.02270507813"/>
  </r>
  <r>
    <x v="1"/>
    <x v="11"/>
    <s v="1993-Décembre"/>
    <n v="1091.34997558594"/>
  </r>
  <r>
    <x v="2"/>
    <x v="0"/>
    <s v="1994-Janvier"/>
    <n v="1170"/>
  </r>
  <r>
    <x v="2"/>
    <x v="1"/>
    <s v="1994-février"/>
    <n v="1270.52502441406"/>
  </r>
  <r>
    <x v="2"/>
    <x v="2"/>
    <s v="1994-Mars"/>
    <n v="1287.69567871094"/>
  </r>
  <r>
    <x v="2"/>
    <x v="3"/>
    <s v="1994-Avril"/>
    <n v="1277.28942871094"/>
  </r>
  <r>
    <x v="2"/>
    <x v="4"/>
    <s v="1994-Mai"/>
    <n v="1321.04760742188"/>
  </r>
  <r>
    <x v="2"/>
    <x v="5"/>
    <s v="1994-Juin"/>
    <n v="1402.36364746094"/>
  </r>
  <r>
    <x v="2"/>
    <x v="6"/>
    <s v="1994-Juillet"/>
    <n v="1491.95239257813"/>
  </r>
  <r>
    <x v="2"/>
    <x v="7"/>
    <s v="1994-Août"/>
    <n v="1457.06823730469"/>
  </r>
  <r>
    <x v="2"/>
    <x v="8"/>
    <s v="1994-Septembre"/>
    <n v="1571.09094238281"/>
  </r>
  <r>
    <x v="2"/>
    <x v="9"/>
    <s v="1994-Octobre"/>
    <n v="1694.26196289063"/>
  </r>
  <r>
    <x v="2"/>
    <x v="10"/>
    <s v="1994-Novembre"/>
    <n v="1885.88635253906"/>
  </r>
  <r>
    <x v="2"/>
    <x v="11"/>
    <s v="1994-Décembre"/>
    <n v="1878.375"/>
  </r>
  <r>
    <x v="3"/>
    <x v="0"/>
    <s v="1995-Janvier"/>
    <n v="2059.35717773438"/>
  </r>
  <r>
    <x v="3"/>
    <x v="1"/>
    <s v="1995-février"/>
    <n v="1905.44995117188"/>
  </r>
  <r>
    <x v="3"/>
    <x v="2"/>
    <s v="1995-Mars"/>
    <n v="1799.97827148438"/>
  </r>
  <r>
    <x v="3"/>
    <x v="3"/>
    <s v="1995-Avril"/>
    <n v="1849.44445800781"/>
  </r>
  <r>
    <x v="3"/>
    <x v="4"/>
    <s v="1995-Mai"/>
    <n v="1765.47619628906"/>
  </r>
  <r>
    <x v="3"/>
    <x v="5"/>
    <s v="1995-Juin"/>
    <n v="1775.79541015625"/>
  </r>
  <r>
    <x v="3"/>
    <x v="6"/>
    <s v="1995-Juillet"/>
    <n v="1867.27502441406"/>
  </r>
  <r>
    <x v="3"/>
    <x v="7"/>
    <s v="1995-Août"/>
    <n v="1890.04541015625"/>
  </r>
  <r>
    <x v="3"/>
    <x v="8"/>
    <s v="1995-Septembre"/>
    <n v="1761.72497558594"/>
  </r>
  <r>
    <x v="3"/>
    <x v="9"/>
    <s v="1995-Octobre"/>
    <n v="1671.95458984375"/>
  </r>
  <r>
    <x v="3"/>
    <x v="10"/>
    <s v="1995-Novembre"/>
    <n v="1655.92858886719"/>
  </r>
  <r>
    <x v="3"/>
    <x v="11"/>
    <s v="1995-Décembre"/>
    <n v="1657.81579589844"/>
  </r>
  <r>
    <x v="4"/>
    <x v="0"/>
    <s v="1996-Janvier"/>
    <n v="1584.47619628906"/>
  </r>
  <r>
    <x v="4"/>
    <x v="1"/>
    <s v="1996-février"/>
    <n v="1594.57141113281"/>
  </r>
  <r>
    <x v="4"/>
    <x v="2"/>
    <s v="1996-Mars"/>
    <n v="1614.85717773438"/>
  </r>
  <r>
    <x v="4"/>
    <x v="3"/>
    <s v="1996-Avril"/>
    <n v="1587.40002441406"/>
  </r>
  <r>
    <x v="4"/>
    <x v="4"/>
    <s v="1996-Mai"/>
    <n v="1593.85717773438"/>
  </r>
  <r>
    <x v="4"/>
    <x v="5"/>
    <s v="1996-Juin"/>
    <n v="1485.75"/>
  </r>
  <r>
    <x v="4"/>
    <x v="6"/>
    <s v="1996-Juillet"/>
    <n v="1460.02172851563"/>
  </r>
  <r>
    <x v="4"/>
    <x v="7"/>
    <s v="1996-Août"/>
    <n v="1466.78576660156"/>
  </r>
  <r>
    <x v="4"/>
    <x v="8"/>
    <s v="1996-Septembre"/>
    <n v="1405.76196289063"/>
  </r>
  <r>
    <x v="4"/>
    <x v="9"/>
    <s v="1996-Octobre"/>
    <n v="1336.02172851563"/>
  </r>
  <r>
    <x v="4"/>
    <x v="10"/>
    <s v="1996-Novembre"/>
    <n v="1451.04760742188"/>
  </r>
  <r>
    <x v="4"/>
    <x v="11"/>
    <s v="1996-Décembre"/>
    <n v="1500.97619628906"/>
  </r>
  <r>
    <x v="5"/>
    <x v="0"/>
    <s v="1997-Janvier"/>
    <n v="1575.13635253906"/>
  </r>
  <r>
    <x v="5"/>
    <x v="1"/>
    <s v="1997-février"/>
    <n v="1582.05297851563"/>
  </r>
  <r>
    <x v="5"/>
    <x v="2"/>
    <s v="1997-Mars"/>
    <n v="1631.18420410156"/>
  </r>
  <r>
    <x v="5"/>
    <x v="3"/>
    <s v="1997-Avril"/>
    <n v="1561.11364746094"/>
  </r>
  <r>
    <x v="5"/>
    <x v="4"/>
    <s v="1997-Mai"/>
    <n v="1625.44995117188"/>
  </r>
  <r>
    <x v="5"/>
    <x v="5"/>
    <s v="1997-Juin"/>
    <n v="1567.1904296875"/>
  </r>
  <r>
    <x v="5"/>
    <x v="6"/>
    <s v="1997-Juillet"/>
    <n v="1591.5869140625"/>
  </r>
  <r>
    <x v="5"/>
    <x v="7"/>
    <s v="1997-Août"/>
    <n v="1710.02502441406"/>
  </r>
  <r>
    <x v="5"/>
    <x v="8"/>
    <s v="1997-Septembre"/>
    <n v="1611.61901855469"/>
  </r>
  <r>
    <x v="5"/>
    <x v="9"/>
    <s v="1997-Octobre"/>
    <n v="1607.32604980469"/>
  </r>
  <r>
    <x v="5"/>
    <x v="10"/>
    <s v="1997-Novembre"/>
    <n v="1598.32495117188"/>
  </r>
  <r>
    <x v="5"/>
    <x v="11"/>
    <s v="1997-Décembre"/>
    <n v="1530.52380371094"/>
  </r>
  <r>
    <x v="6"/>
    <x v="0"/>
    <s v="1998-Janvier"/>
    <n v="1485.47497558594"/>
  </r>
  <r>
    <x v="6"/>
    <x v="1"/>
    <s v="1998-février"/>
    <n v="1465.17504882813"/>
  </r>
  <r>
    <x v="6"/>
    <x v="2"/>
    <s v="1998-Mars"/>
    <n v="1438.31823730469"/>
  </r>
  <r>
    <x v="6"/>
    <x v="3"/>
    <s v="1998-Avril"/>
    <n v="1417.55004882813"/>
  </r>
  <r>
    <x v="6"/>
    <x v="4"/>
    <s v="1998-Mai"/>
    <n v="1364.31579589844"/>
  </r>
  <r>
    <x v="6"/>
    <x v="5"/>
    <s v="1998-Juin"/>
    <n v="1305.52380371094"/>
  </r>
  <r>
    <x v="6"/>
    <x v="6"/>
    <s v="1998-Juillet"/>
    <n v="1312.66662597656"/>
  </r>
  <r>
    <x v="6"/>
    <x v="7"/>
    <s v="1998-Août"/>
    <n v="1310.55004882813"/>
  </r>
  <r>
    <x v="6"/>
    <x v="8"/>
    <s v="1998-Septembre"/>
    <n v="1341.88635253906"/>
  </r>
  <r>
    <x v="6"/>
    <x v="9"/>
    <s v="1998-Octobre"/>
    <n v="1303.70458984375"/>
  </r>
  <r>
    <x v="6"/>
    <x v="10"/>
    <s v="1998-Novembre"/>
    <n v="1295.30004882813"/>
  </r>
  <r>
    <x v="6"/>
    <x v="11"/>
    <s v="1998-Décembre"/>
    <n v="1250.39477539063"/>
  </r>
  <r>
    <x v="7"/>
    <x v="0"/>
    <s v="1999-Janvier"/>
    <n v="1219.40002441406"/>
  </r>
  <r>
    <x v="7"/>
    <x v="1"/>
    <s v="1999-février"/>
    <n v="1186.4749999999999"/>
  </r>
  <r>
    <x v="7"/>
    <x v="2"/>
    <s v="1999-Mars"/>
    <n v="1179.8636363636399"/>
  </r>
  <r>
    <x v="7"/>
    <x v="3"/>
    <s v="1999-Avril"/>
    <n v="1277.8499999999999"/>
  </r>
  <r>
    <x v="7"/>
    <x v="4"/>
    <s v="1999-Mai"/>
    <n v="1323.1315789473699"/>
  </r>
  <r>
    <x v="7"/>
    <x v="5"/>
    <s v="1999-Juin"/>
    <n v="1315.52272727273"/>
  </r>
  <r>
    <x v="7"/>
    <x v="6"/>
    <s v="1999-Juillet"/>
    <n v="1403.3636363636399"/>
  </r>
  <r>
    <x v="7"/>
    <x v="7"/>
    <s v="1999-Août"/>
    <n v="1421.69047619048"/>
  </r>
  <r>
    <x v="7"/>
    <x v="8"/>
    <s v="1999-Septembre"/>
    <n v="1492.0681818181799"/>
  </r>
  <r>
    <x v="7"/>
    <x v="9"/>
    <s v="1999-Octobre"/>
    <n v="1473.3333333333301"/>
  </r>
  <r>
    <x v="7"/>
    <x v="10"/>
    <s v="1999-Novembre"/>
    <n v="1472.4318181818201"/>
  </r>
  <r>
    <x v="7"/>
    <x v="11"/>
    <s v="1999-Décembre"/>
    <n v="1554.73529411765"/>
  </r>
  <r>
    <x v="8"/>
    <x v="0"/>
    <s v="2000-Janvier"/>
    <n v="1679.85"/>
  </r>
  <r>
    <x v="8"/>
    <x v="1"/>
    <s v="2000-février"/>
    <n v="1679.425"/>
  </r>
  <r>
    <x v="8"/>
    <x v="2"/>
    <s v="2000-Mars"/>
    <n v="1579.64"/>
  </r>
  <r>
    <x v="8"/>
    <x v="3"/>
    <s v="2000-Avril"/>
    <n v="1458.7449999999999"/>
  </r>
  <r>
    <x v="8"/>
    <x v="4"/>
    <s v="2000-Mai"/>
    <n v="1468.0652173912999"/>
  </r>
  <r>
    <x v="8"/>
    <x v="5"/>
    <s v="2000-Juin"/>
    <n v="1509.3727272727299"/>
  </r>
  <r>
    <x v="8"/>
    <x v="6"/>
    <s v="2000-Juillet"/>
    <n v="1564.37619047619"/>
  </r>
  <r>
    <x v="8"/>
    <x v="7"/>
    <s v="2000-Août"/>
    <n v="1530.3347826086999"/>
  </r>
  <r>
    <x v="8"/>
    <x v="8"/>
    <s v="2000-Septembre"/>
    <n v="1602.30952380952"/>
  </r>
  <r>
    <x v="8"/>
    <x v="9"/>
    <s v="2000-Octobre"/>
    <n v="1501.24545454545"/>
  </r>
  <r>
    <x v="8"/>
    <x v="10"/>
    <s v="2000-Novembre"/>
    <n v="1475.55454545455"/>
  </r>
  <r>
    <x v="8"/>
    <x v="11"/>
    <s v="2000-Décembre"/>
    <n v="1569.0550000000001"/>
  </r>
  <r>
    <x v="9"/>
    <x v="0"/>
    <s v="2001-Janvier"/>
    <n v="1619.8772727272701"/>
  </r>
  <r>
    <x v="9"/>
    <x v="1"/>
    <s v="2001-février"/>
    <n v="1607.03"/>
  </r>
  <r>
    <x v="9"/>
    <x v="2"/>
    <s v="2001-Mars"/>
    <n v="1512.1727272727301"/>
  </r>
  <r>
    <x v="9"/>
    <x v="3"/>
    <s v="2001-Avril"/>
    <n v="1499.4833333333299"/>
  </r>
  <r>
    <x v="9"/>
    <x v="4"/>
    <s v="2001-Mai"/>
    <n v="1542.3904761904801"/>
  </r>
  <r>
    <x v="9"/>
    <x v="5"/>
    <s v="2001-Juin"/>
    <n v="1470.8333333333301"/>
  </r>
  <r>
    <x v="9"/>
    <x v="6"/>
    <s v="2001-Juillet"/>
    <n v="1418.6227272727299"/>
  </r>
  <r>
    <x v="9"/>
    <x v="7"/>
    <s v="2001-Août"/>
    <n v="1377.8454545454499"/>
  </r>
  <r>
    <x v="9"/>
    <x v="8"/>
    <s v="2001-Septembre"/>
    <n v="1345.9949999999999"/>
  </r>
  <r>
    <x v="9"/>
    <x v="9"/>
    <s v="2001-Octobre"/>
    <n v="1283.53043478261"/>
  </r>
  <r>
    <x v="9"/>
    <x v="10"/>
    <s v="2001-Novembre"/>
    <n v="1334.45454545455"/>
  </r>
  <r>
    <x v="9"/>
    <x v="11"/>
    <s v="2001-Décembre"/>
    <n v="1348.72352941176"/>
  </r>
  <r>
    <x v="10"/>
    <x v="0"/>
    <s v="2002-Janvier"/>
    <n v="1371.3636363636399"/>
  </r>
  <r>
    <x v="10"/>
    <x v="1"/>
    <s v="2002-février"/>
    <n v="1371.08"/>
  </r>
  <r>
    <x v="10"/>
    <x v="2"/>
    <s v="2002-Mars"/>
    <n v="1404.9849999999999"/>
  </r>
  <r>
    <x v="10"/>
    <x v="3"/>
    <s v="2002-Avril"/>
    <n v="1370.38571428571"/>
  </r>
  <r>
    <x v="10"/>
    <x v="4"/>
    <s v="2002-Mai"/>
    <n v="1344.4272727272701"/>
  </r>
  <r>
    <x v="10"/>
    <x v="5"/>
    <s v="2002-Juin"/>
    <n v="1356.93333333333"/>
  </r>
  <r>
    <x v="10"/>
    <x v="6"/>
    <s v="2002-Juillet"/>
    <n v="1337.8652173912999"/>
  </r>
  <r>
    <x v="10"/>
    <x v="7"/>
    <s v="2002-Août"/>
    <n v="1293.3571428571399"/>
  </r>
  <r>
    <x v="10"/>
    <x v="8"/>
    <s v="2002-Septembre"/>
    <n v="1301.7"/>
  </r>
  <r>
    <x v="10"/>
    <x v="9"/>
    <s v="2002-Octobre"/>
    <n v="1311.46086956522"/>
  </r>
  <r>
    <x v="10"/>
    <x v="10"/>
    <s v="2002-Novembre"/>
    <n v="1373.2666666666701"/>
  </r>
  <r>
    <x v="10"/>
    <x v="11"/>
    <s v="2002-Décembre"/>
    <n v="1375.8619047619"/>
  </r>
  <r>
    <x v="11"/>
    <x v="0"/>
    <s v="2003-Janvier"/>
    <n v="1379.26818181818"/>
  </r>
  <r>
    <x v="11"/>
    <x v="1"/>
    <s v="2003-février"/>
    <n v="1421.5350000000001"/>
  </r>
  <r>
    <x v="11"/>
    <x v="2"/>
    <s v="2003-Mars"/>
    <n v="1386.5238095238101"/>
  </r>
  <r>
    <x v="11"/>
    <x v="3"/>
    <s v="2003-Avril"/>
    <n v="1334.29"/>
  </r>
  <r>
    <x v="11"/>
    <x v="4"/>
    <s v="2003-Mai"/>
    <n v="1400.3975"/>
  </r>
  <r>
    <x v="11"/>
    <x v="5"/>
    <s v="2003-Juin"/>
    <n v="1410.5166666666701"/>
  </r>
  <r>
    <x v="11"/>
    <x v="6"/>
    <s v="2003-Juillet"/>
    <n v="1440.8804347826101"/>
  </r>
  <r>
    <x v="11"/>
    <x v="7"/>
    <s v="2003-Août"/>
    <n v="1457.2249999999999"/>
  </r>
  <r>
    <x v="11"/>
    <x v="8"/>
    <s v="2003-Septembre"/>
    <n v="1416.5772727272699"/>
  </r>
  <r>
    <x v="11"/>
    <x v="9"/>
    <s v="2003-Octobre"/>
    <n v="1477.22391304348"/>
  </r>
  <r>
    <x v="11"/>
    <x v="10"/>
    <s v="2003-Novembre"/>
    <n v="1511.585"/>
  </r>
  <r>
    <x v="11"/>
    <x v="11"/>
    <s v="2003-Décembre"/>
    <n v="1557.7785714285701"/>
  </r>
  <r>
    <x v="12"/>
    <x v="0"/>
    <s v="2004-Janvier"/>
    <n v="1608.8928571428601"/>
  </r>
  <r>
    <x v="12"/>
    <x v="1"/>
    <s v="2004-février"/>
    <n v="1685.2249999999999"/>
  </r>
  <r>
    <x v="12"/>
    <x v="2"/>
    <s v="2004-Mars"/>
    <n v="1657.3543478260899"/>
  </r>
  <r>
    <x v="12"/>
    <x v="3"/>
    <s v="2004-Avril"/>
    <n v="1731.68"/>
  </r>
  <r>
    <x v="12"/>
    <x v="4"/>
    <s v="2004-Mai"/>
    <n v="1625.25"/>
  </r>
  <r>
    <x v="12"/>
    <x v="5"/>
    <s v="2004-Juin"/>
    <n v="1682.0295454545501"/>
  </r>
  <r>
    <x v="12"/>
    <x v="6"/>
    <s v="2004-Juillet"/>
    <n v="1707.8409090909099"/>
  </r>
  <r>
    <x v="12"/>
    <x v="7"/>
    <s v="2004-Août"/>
    <n v="1692.07142857143"/>
  </r>
  <r>
    <x v="12"/>
    <x v="8"/>
    <s v="2004-Septembre"/>
    <n v="1731"/>
  </r>
  <r>
    <x v="12"/>
    <x v="9"/>
    <s v="2004-Octobre"/>
    <n v="1830.3571428571399"/>
  </r>
  <r>
    <x v="12"/>
    <x v="10"/>
    <s v="2004-Novembre"/>
    <n v="1817.3409090909099"/>
  </r>
  <r>
    <x v="12"/>
    <x v="11"/>
    <s v="2004-Décembre"/>
    <n v="1852.9095238095199"/>
  </r>
  <r>
    <x v="13"/>
    <x v="0"/>
    <s v="2005-Janvier"/>
    <n v="1836.175"/>
  </r>
  <r>
    <x v="13"/>
    <x v="1"/>
    <s v="2005-février"/>
    <n v="1882.7750000000001"/>
  </r>
  <r>
    <x v="13"/>
    <x v="2"/>
    <s v="2005-Mars"/>
    <n v="1987.5"/>
  </r>
  <r>
    <x v="13"/>
    <x v="3"/>
    <s v="2005-Avril"/>
    <n v="1891.9880952381"/>
  </r>
  <r>
    <x v="13"/>
    <x v="4"/>
    <s v="2005-Mai"/>
    <n v="1741.45"/>
  </r>
  <r>
    <x v="13"/>
    <x v="5"/>
    <s v="2005-Juin"/>
    <n v="1731.9431818181799"/>
  </r>
  <r>
    <x v="13"/>
    <x v="6"/>
    <s v="2005-Juillet"/>
    <n v="1783.2619047619"/>
  </r>
  <r>
    <x v="13"/>
    <x v="7"/>
    <s v="2005-Août"/>
    <n v="1871.27272727273"/>
  </r>
  <r>
    <x v="13"/>
    <x v="8"/>
    <s v="2005-Septembre"/>
    <n v="1837.6931818181799"/>
  </r>
  <r>
    <x v="13"/>
    <x v="9"/>
    <s v="2005-Octobre"/>
    <n v="1934.1428571428601"/>
  </r>
  <r>
    <x v="13"/>
    <x v="10"/>
    <s v="2005-Novembre"/>
    <n v="2056.9704545454501"/>
  </r>
  <r>
    <x v="13"/>
    <x v="11"/>
    <s v="2005-Décembre"/>
    <n v="2250.9"/>
  </r>
  <r>
    <x v="14"/>
    <x v="0"/>
    <s v="2006-Janvier"/>
    <n v="2383.3023809523802"/>
  </r>
  <r>
    <x v="14"/>
    <x v="1"/>
    <s v="2006-février"/>
    <n v="2453.375"/>
  </r>
  <r>
    <x v="14"/>
    <x v="2"/>
    <s v="2006-Mars"/>
    <n v="2432.47826086957"/>
  </r>
  <r>
    <x v="14"/>
    <x v="3"/>
    <s v="2006-Avril"/>
    <n v="2623.8583333333299"/>
  </r>
  <r>
    <x v="14"/>
    <x v="4"/>
    <s v="2006-Mai"/>
    <n v="2852.0714285714298"/>
  </r>
  <r>
    <x v="14"/>
    <x v="5"/>
    <s v="2006-Juin"/>
    <n v="2490.95454545455"/>
  </r>
  <r>
    <x v="14"/>
    <x v="6"/>
    <s v="2006-Juillet"/>
    <n v="2511.8333333333298"/>
  </r>
  <r>
    <x v="14"/>
    <x v="7"/>
    <s v="2006-Août"/>
    <n v="2461.5522727272701"/>
  </r>
  <r>
    <x v="14"/>
    <x v="8"/>
    <s v="2006-Septembre"/>
    <n v="2484.38095238095"/>
  </r>
  <r>
    <x v="14"/>
    <x v="9"/>
    <s v="2006-Octobre"/>
    <n v="2657.1477272727302"/>
  </r>
  <r>
    <x v="14"/>
    <x v="10"/>
    <s v="2006-Novembre"/>
    <n v="2702.1363636363599"/>
  </r>
  <r>
    <x v="14"/>
    <x v="11"/>
    <s v="2006-Décembre"/>
    <n v="2823.6710526315801"/>
  </r>
  <r>
    <x v="15"/>
    <x v="0"/>
    <s v="2007-Janvier"/>
    <n v="2799.0590909090902"/>
  </r>
  <r>
    <x v="15"/>
    <x v="1"/>
    <s v="2007-février"/>
    <n v="2839.05"/>
  </r>
  <r>
    <x v="15"/>
    <x v="2"/>
    <s v="2007-Mars"/>
    <n v="2757.07954545455"/>
  </r>
  <r>
    <x v="15"/>
    <x v="3"/>
    <s v="2007-Avril"/>
    <n v="2817.0526315789498"/>
  </r>
  <r>
    <x v="15"/>
    <x v="4"/>
    <s v="2007-Mai"/>
    <n v="2804.6047619047599"/>
  </r>
  <r>
    <x v="15"/>
    <x v="5"/>
    <s v="2007-Juin"/>
    <n v="2681.3095238095202"/>
  </r>
  <r>
    <x v="15"/>
    <x v="6"/>
    <s v="2007-Juillet"/>
    <n v="2738.0909090909099"/>
  </r>
  <r>
    <x v="15"/>
    <x v="7"/>
    <s v="2007-Août"/>
    <n v="2512.6022727272698"/>
  </r>
  <r>
    <x v="15"/>
    <x v="8"/>
    <s v="2007-Septembre"/>
    <n v="2394.9625000000001"/>
  </r>
  <r>
    <x v="15"/>
    <x v="9"/>
    <s v="2007-Octobre"/>
    <n v="2444.5326086956502"/>
  </r>
  <r>
    <x v="15"/>
    <x v="10"/>
    <s v="2007-Novembre"/>
    <n v="2507.15227272727"/>
  </r>
  <r>
    <x v="15"/>
    <x v="11"/>
    <s v="2007-Décembre"/>
    <n v="2382.8333333333298"/>
  </r>
  <r>
    <x v="16"/>
    <x v="0"/>
    <s v="2008-Janvier"/>
    <n v="2456.125"/>
  </r>
  <r>
    <x v="16"/>
    <x v="1"/>
    <s v="2008-février"/>
    <n v="2784.8928571428601"/>
  </r>
  <r>
    <x v="16"/>
    <x v="2"/>
    <s v="2008-Mars"/>
    <n v="3012.0526315789498"/>
  </r>
  <r>
    <x v="16"/>
    <x v="3"/>
    <s v="2008-Avril"/>
    <n v="2968.0340909090901"/>
  </r>
  <r>
    <x v="16"/>
    <x v="4"/>
    <s v="2008-Mai"/>
    <n v="2908.2775000000001"/>
  </r>
  <r>
    <x v="16"/>
    <x v="5"/>
    <s v="2008-Juin"/>
    <n v="2967.86904761905"/>
  </r>
  <r>
    <x v="16"/>
    <x v="6"/>
    <s v="2008-Juillet"/>
    <n v="3067.45652173913"/>
  </r>
  <r>
    <x v="16"/>
    <x v="7"/>
    <s v="2008-Août"/>
    <n v="2762.56"/>
  </r>
  <r>
    <x v="16"/>
    <x v="8"/>
    <s v="2008-Septembre"/>
    <n v="2524.1477272727302"/>
  </r>
  <r>
    <x v="16"/>
    <x v="9"/>
    <s v="2008-Octobre"/>
    <n v="2122.0282608695702"/>
  </r>
  <r>
    <x v="16"/>
    <x v="10"/>
    <s v="2008-Novembre"/>
    <n v="1857.13"/>
  </r>
  <r>
    <x v="16"/>
    <x v="11"/>
    <s v="2008-Décembre"/>
    <n v="1504.4166666666699"/>
  </r>
  <r>
    <x v="17"/>
    <x v="0"/>
    <s v="2009-Janvier"/>
    <n v="1420.3595238095199"/>
  </r>
  <r>
    <x v="17"/>
    <x v="1"/>
    <s v="2009-février"/>
    <n v="1338.0625"/>
  </r>
  <r>
    <x v="17"/>
    <x v="2"/>
    <s v="2009-Mars"/>
    <n v="1338.07954545455"/>
  </r>
  <r>
    <x v="17"/>
    <x v="3"/>
    <s v="2009-Avril"/>
    <n v="1431.8125"/>
  </r>
  <r>
    <x v="17"/>
    <x v="4"/>
    <s v="2009-Mai"/>
    <n v="1466.6710526315801"/>
  </r>
  <r>
    <x v="17"/>
    <x v="5"/>
    <s v="2009-Juin"/>
    <n v="1579.6272727272701"/>
  </r>
  <r>
    <x v="17"/>
    <x v="6"/>
    <s v="2009-Juillet"/>
    <n v="1670.5565217391299"/>
  </r>
  <r>
    <x v="17"/>
    <x v="7"/>
    <s v="2009-Août"/>
    <n v="1927.6375"/>
  </r>
  <r>
    <x v="17"/>
    <x v="8"/>
    <s v="2009-Septembre"/>
    <n v="1835.59772727273"/>
  </r>
  <r>
    <x v="17"/>
    <x v="9"/>
    <s v="2009-Octobre"/>
    <n v="1875.6636363636401"/>
  </r>
  <r>
    <x v="17"/>
    <x v="10"/>
    <s v="2009-Novembre"/>
    <n v="1956.5476190476199"/>
  </r>
  <r>
    <x v="17"/>
    <x v="11"/>
    <s v="2009-Décembre"/>
    <n v="2181.25714285714"/>
  </r>
  <r>
    <x v="18"/>
    <x v="0"/>
    <s v="2010-Janvier"/>
    <n v="2230.1125000000002"/>
  </r>
  <r>
    <x v="18"/>
    <x v="1"/>
    <s v="2010-février"/>
    <n v="2053.27"/>
  </r>
  <r>
    <x v="18"/>
    <x v="2"/>
    <s v="2010-Mars"/>
    <n v="2210.53043478261"/>
  </r>
  <r>
    <x v="18"/>
    <x v="3"/>
    <s v="2010-Avril"/>
    <n v="2314.2775000000001"/>
  </r>
  <r>
    <x v="18"/>
    <x v="4"/>
    <s v="2010-Mai"/>
    <n v="2044.71052631579"/>
  </r>
  <r>
    <x v="18"/>
    <x v="5"/>
    <s v="2010-Juin"/>
    <n v="1929.4090909090901"/>
  </r>
  <r>
    <x v="18"/>
    <x v="6"/>
    <s v="2010-Juillet"/>
    <n v="1989.04545454545"/>
  </r>
  <r>
    <x v="18"/>
    <x v="7"/>
    <s v="2010-Août"/>
    <n v="2110.4404761904798"/>
  </r>
  <r>
    <x v="18"/>
    <x v="8"/>
    <s v="2010-Septembre"/>
    <n v="2171.2431818181799"/>
  </r>
  <r>
    <x v="18"/>
    <x v="9"/>
    <s v="2010-Octobre"/>
    <n v="2342.1785714285702"/>
  </r>
  <r>
    <x v="18"/>
    <x v="10"/>
    <s v="2010-Novembre"/>
    <n v="2324.04545454545"/>
  </r>
  <r>
    <x v="18"/>
    <x v="11"/>
    <s v="2010-Décembre"/>
    <n v="2356.6690476190502"/>
  </r>
  <r>
    <x v="19"/>
    <x v="0"/>
    <s v="2011-Janvier"/>
    <n v="2439.6999999999998"/>
  </r>
  <r>
    <x v="19"/>
    <x v="1"/>
    <s v="2011-février"/>
    <n v="2515.2600000000002"/>
  </r>
  <r>
    <x v="19"/>
    <x v="2"/>
    <s v="2011-Mars"/>
    <n v="2555.5"/>
  </r>
  <r>
    <x v="19"/>
    <x v="3"/>
    <s v="2011-Avril"/>
    <n v="2667.4166666666702"/>
  </r>
  <r>
    <x v="19"/>
    <x v="4"/>
    <s v="2011-Mai"/>
    <n v="2587.2125000000001"/>
  </r>
  <r>
    <x v="19"/>
    <x v="5"/>
    <s v="2011-Juin"/>
    <n v="2557.7613636363599"/>
  </r>
  <r>
    <x v="19"/>
    <x v="6"/>
    <s v="2011-Juillet"/>
    <n v="2525.4285714285702"/>
  </r>
  <r>
    <x v="19"/>
    <x v="7"/>
    <s v="2011-Août"/>
    <n v="2380.9749999999999"/>
  </r>
  <r>
    <x v="19"/>
    <x v="8"/>
    <s v="2011-Septembre"/>
    <n v="2293.4613636363601"/>
  </r>
  <r>
    <x v="19"/>
    <x v="9"/>
    <s v="2011-Octobre"/>
    <n v="2180.6476190476201"/>
  </r>
  <r>
    <x v="19"/>
    <x v="10"/>
    <s v="2011-Novembre"/>
    <n v="2079.98181818182"/>
  </r>
  <r>
    <x v="19"/>
    <x v="11"/>
    <s v="2011-Décembre"/>
    <n v="2024.375"/>
  </r>
  <r>
    <x v="20"/>
    <x v="0"/>
    <s v="2012-Janvier"/>
    <n v="2151.3333333333298"/>
  </r>
  <r>
    <x v="20"/>
    <x v="1"/>
    <s v="2012-février"/>
    <n v="2207.9166666666702"/>
  </r>
  <r>
    <x v="20"/>
    <x v="2"/>
    <s v="2012-Mars"/>
    <n v="2184.1590909090901"/>
  </r>
  <r>
    <x v="20"/>
    <x v="3"/>
    <s v="2012-Avril"/>
    <n v="2048.5052631578901"/>
  </r>
  <r>
    <x v="20"/>
    <x v="4"/>
    <s v="2012-Mai"/>
    <n v="2002.52272727273"/>
  </r>
  <r>
    <x v="20"/>
    <x v="5"/>
    <s v="2012-Juin"/>
    <n v="1885.5131578947401"/>
  </r>
  <r>
    <x v="20"/>
    <x v="6"/>
    <s v="2012-Juillet"/>
    <n v="1876.25"/>
  </r>
  <r>
    <x v="20"/>
    <x v="7"/>
    <s v="2012-Août"/>
    <n v="1843.3272727272699"/>
  </r>
  <r>
    <x v="20"/>
    <x v="8"/>
    <s v="2012-Septembre"/>
    <n v="2064.12"/>
  </r>
  <r>
    <x v="20"/>
    <x v="9"/>
    <s v="2012-Octobre"/>
    <n v="1974.30434782609"/>
  </r>
  <r>
    <x v="20"/>
    <x v="10"/>
    <s v="2012-Novembre"/>
    <n v="1948.82954545455"/>
  </r>
  <r>
    <x v="20"/>
    <x v="11"/>
    <s v="2012-Décembre"/>
    <n v="2086.7631578947398"/>
  </r>
  <r>
    <x v="21"/>
    <x v="0"/>
    <s v="2013-Janvier"/>
    <n v="2037.60681818182"/>
  </r>
  <r>
    <x v="21"/>
    <x v="1"/>
    <s v="2013-février"/>
    <n v="2053.5949999999998"/>
  </r>
  <r>
    <x v="21"/>
    <x v="2"/>
    <s v="2013-Mars"/>
    <n v="1911.2825"/>
  </r>
  <r>
    <x v="21"/>
    <x v="3"/>
    <s v="2013-Avril"/>
    <n v="1861.0238095238101"/>
  </r>
  <r>
    <x v="21"/>
    <x v="4"/>
    <s v="2013-Mai"/>
    <n v="1832.57142857143"/>
  </r>
  <r>
    <x v="21"/>
    <x v="5"/>
    <s v="2013-Juin"/>
    <n v="1814.5374999999999"/>
  </r>
  <r>
    <x v="21"/>
    <x v="6"/>
    <s v="2013-Juillet"/>
    <n v="1769.6086956521699"/>
  </r>
  <r>
    <x v="21"/>
    <x v="7"/>
    <s v="2013-Août"/>
    <n v="1816.2357142857099"/>
  </r>
  <r>
    <x v="21"/>
    <x v="8"/>
    <s v="2013-Septembre"/>
    <n v="1761.30476190476"/>
  </r>
  <r>
    <x v="21"/>
    <x v="9"/>
    <s v="2013-Octobre"/>
    <n v="1814.5826086956499"/>
  </r>
  <r>
    <x v="21"/>
    <x v="10"/>
    <s v="2013-Novembre"/>
    <n v="1747.9642857142901"/>
  </r>
  <r>
    <x v="21"/>
    <x v="11"/>
    <s v="2013-Décembre"/>
    <n v="1739.81"/>
  </r>
  <r>
    <x v="22"/>
    <x v="0"/>
    <s v="2014-Janvier"/>
    <n v="1727.41136363636"/>
  </r>
  <r>
    <x v="22"/>
    <x v="1"/>
    <s v="2014-février"/>
    <n v="1695.165"/>
  </r>
  <r>
    <x v="22"/>
    <x v="2"/>
    <s v="2014-Mars"/>
    <n v="1705.36666666667"/>
  </r>
  <r>
    <x v="22"/>
    <x v="3"/>
    <s v="2014-Avril"/>
    <n v="1810.675"/>
  </r>
  <r>
    <x v="22"/>
    <x v="4"/>
    <s v="2014-Mai"/>
    <n v="1751.05"/>
  </r>
  <r>
    <x v="22"/>
    <x v="5"/>
    <s v="2014-Juin"/>
    <n v="1838.9523809523801"/>
  </r>
  <r>
    <x v="22"/>
    <x v="6"/>
    <s v="2014-Juillet"/>
    <n v="1948.30434782609"/>
  </r>
  <r>
    <x v="22"/>
    <x v="7"/>
    <s v="2014-Août"/>
    <n v="2030.4925000000001"/>
  </r>
  <r>
    <x v="22"/>
    <x v="8"/>
    <s v="2014-Septembre"/>
    <n v="1990.4318181818201"/>
  </r>
  <r>
    <x v="22"/>
    <x v="9"/>
    <s v="2014-Octobre"/>
    <n v="1946.1891304347801"/>
  </r>
  <r>
    <x v="22"/>
    <x v="10"/>
    <s v="2014-Novembre"/>
    <n v="2055.5549999999998"/>
  </r>
  <r>
    <x v="22"/>
    <x v="11"/>
    <s v="2014-Décembre"/>
    <n v="1909.4595238095201"/>
  </r>
  <r>
    <x v="23"/>
    <x v="0"/>
    <s v="2015-Janvier"/>
    <n v="1814.7190476190499"/>
  </r>
  <r>
    <x v="23"/>
    <x v="1"/>
    <s v="2015-février"/>
    <n v="1817.82"/>
  </r>
  <r>
    <x v="23"/>
    <x v="2"/>
    <s v="2015-Mars"/>
    <n v="1773.8636363636399"/>
  </r>
  <r>
    <x v="23"/>
    <x v="3"/>
    <s v="2015-Avril"/>
    <n v="1819.1875"/>
  </r>
  <r>
    <x v="23"/>
    <x v="4"/>
    <s v="2015-Mai"/>
    <n v="1804.03947368421"/>
  </r>
  <r>
    <x v="23"/>
    <x v="5"/>
    <s v="2015-Juin"/>
    <n v="1687.72727272727"/>
  </r>
  <r>
    <x v="23"/>
    <x v="6"/>
    <s v="2015-Juillet"/>
    <n v="1639.5"/>
  </r>
  <r>
    <x v="23"/>
    <x v="7"/>
    <s v="2015-Août"/>
    <n v="1548.125"/>
  </r>
  <r>
    <x v="23"/>
    <x v="8"/>
    <s v="2015-Septembre"/>
    <n v="1589.60227272727"/>
  </r>
  <r>
    <x v="23"/>
    <x v="9"/>
    <s v="2015-Octobre"/>
    <n v="1516.4886363636399"/>
  </r>
  <r>
    <x v="23"/>
    <x v="10"/>
    <s v="2015-Novembre"/>
    <n v="1467.8928571428601"/>
  </r>
  <r>
    <x v="23"/>
    <x v="11"/>
    <s v="2015-Décembre"/>
    <n v="1497.2023809523801"/>
  </r>
  <r>
    <x v="24"/>
    <x v="0"/>
    <s v="2016-Janvier"/>
    <n v="1481.1"/>
  </r>
  <r>
    <x v="24"/>
    <x v="1"/>
    <s v="2016-février"/>
    <n v="1531.2619047619"/>
  </r>
  <r>
    <x v="24"/>
    <x v="2"/>
    <s v="2016-Mars"/>
    <n v="1531.0119047619"/>
  </r>
  <r>
    <x v="24"/>
    <x v="3"/>
    <s v="2016-Avril"/>
    <n v="1571.2261904761899"/>
  </r>
  <r>
    <x v="24"/>
    <x v="4"/>
    <s v="2016-Mai"/>
    <n v="1550.625"/>
  </r>
  <r>
    <x v="24"/>
    <x v="5"/>
    <s v="2016-Juin"/>
    <n v="1593.5068181818201"/>
  </r>
  <r>
    <x v="24"/>
    <x v="6"/>
    <s v="2016-Juillet"/>
    <n v="1629.0476190476199"/>
  </r>
  <r>
    <x v="24"/>
    <x v="7"/>
    <s v="2016-Août"/>
    <n v="1639.2840909090901"/>
  </r>
  <r>
    <x v="24"/>
    <x v="8"/>
    <s v="2016-Septembre"/>
    <n v="1592.3636363636399"/>
  </r>
  <r>
    <x v="24"/>
    <x v="9"/>
    <s v="2016-Octobre"/>
    <n v="1665.9047619047601"/>
  </r>
  <r>
    <x v="24"/>
    <x v="10"/>
    <s v="2016-Novembre"/>
    <n v="1737.1136363636399"/>
  </r>
  <r>
    <x v="24"/>
    <x v="11"/>
    <s v="2016-Décembre"/>
    <n v="1727.7375"/>
  </r>
  <r>
    <x v="25"/>
    <x v="0"/>
    <s v="2017-Janvier"/>
    <n v="1791.2380952381"/>
  </r>
  <r>
    <x v="25"/>
    <x v="1"/>
    <s v="2017-février"/>
    <n v="1860.75"/>
  </r>
  <r>
    <x v="25"/>
    <x v="2"/>
    <s v="2017-Mars"/>
    <n v="1901.46739130435"/>
  </r>
  <r>
    <x v="25"/>
    <x v="3"/>
    <s v="2017-Avril"/>
    <n v="1921.2222222222199"/>
  </r>
  <r>
    <x v="25"/>
    <x v="4"/>
    <s v="2017-Mai"/>
    <n v="1913.0238095238101"/>
  </r>
  <r>
    <x v="25"/>
    <x v="5"/>
    <s v="2017-Juin"/>
    <n v="1885.28636363636"/>
  </r>
  <r>
    <x v="25"/>
    <x v="6"/>
    <s v="2017-Juillet"/>
    <n v="1902.9642857142901"/>
  </r>
  <r>
    <x v="25"/>
    <x v="7"/>
    <s v="2017-Août"/>
    <n v="2030.0113636363601"/>
  </r>
  <r>
    <x v="25"/>
    <x v="8"/>
    <s v="2017-Septembre"/>
    <n v="2096.4880952381"/>
  </r>
  <r>
    <x v="25"/>
    <x v="9"/>
    <s v="2017-Octobre"/>
    <n v="2131.4886363636401"/>
  </r>
  <r>
    <x v="25"/>
    <x v="10"/>
    <s v="2017-Novembre"/>
    <n v="2097.4409090909098"/>
  </r>
  <r>
    <x v="25"/>
    <x v="11"/>
    <s v="2017-Décembre"/>
    <n v="2080.4736842105299"/>
  </r>
  <r>
    <x v="26"/>
    <x v="0"/>
    <s v="2018-Janvier"/>
    <n v="2209.7272727272698"/>
  </r>
  <r>
    <x v="26"/>
    <x v="1"/>
    <s v="2018-février"/>
    <n v="2181.7874999999999"/>
  </r>
  <r>
    <x v="26"/>
    <x v="2"/>
    <s v="2018-Mars"/>
    <n v="2069.2380952381"/>
  </r>
  <r>
    <x v="26"/>
    <x v="3"/>
    <s v="2018-Avril"/>
    <n v="2254.6875"/>
  </r>
  <r>
    <x v="26"/>
    <x v="4"/>
    <s v="2018-Mai"/>
    <n v="2299.6666666666702"/>
  </r>
  <r>
    <x v="26"/>
    <x v="5"/>
    <s v="2018-Juin"/>
    <n v="2237.61904761905"/>
  </r>
  <r>
    <x v="26"/>
    <x v="6"/>
    <s v="2018-Juillet"/>
    <n v="2082.2386363636401"/>
  </r>
  <r>
    <x v="26"/>
    <x v="7"/>
    <s v="2018-Août"/>
    <n v="2051.5113636363599"/>
  </r>
  <r>
    <x v="26"/>
    <x v="8"/>
    <s v="2018-Septembre"/>
    <n v="2026.4625000000001"/>
  </r>
  <r>
    <x v="26"/>
    <x v="9"/>
    <s v="2018-Octobre"/>
    <n v="2029.8586956521699"/>
  </r>
  <r>
    <x v="26"/>
    <x v="10"/>
    <s v="2018-Novembre"/>
    <n v="1938.5113636363601"/>
  </r>
  <r>
    <x v="26"/>
    <x v="11"/>
    <s v="2018-Décembre"/>
    <n v="1920.3815789473699"/>
  </r>
  <r>
    <x v="27"/>
    <x v="0"/>
    <s v="2019-Janvier"/>
    <n v="1853.7159090909099"/>
  </r>
  <r>
    <x v="27"/>
    <x v="1"/>
    <s v="2019-février"/>
    <n v="1862.9875"/>
  </r>
  <r>
    <x v="27"/>
    <x v="2"/>
    <s v="2019-Mars"/>
    <n v="1871.2142857142901"/>
  </r>
  <r>
    <x v="27"/>
    <x v="3"/>
    <s v="2019-Avril"/>
    <n v="1845.425"/>
  </r>
  <r>
    <x v="27"/>
    <x v="4"/>
    <s v="2019-Mai"/>
    <n v="1781.2619047619"/>
  </r>
  <r>
    <x v="27"/>
    <x v="5"/>
    <s v="2019-Juin"/>
    <n v="1755.95"/>
  </r>
  <r>
    <x v="27"/>
    <x v="6"/>
    <s v="2019-Juillet"/>
    <n v="1796.98913043478"/>
  </r>
  <r>
    <x v="27"/>
    <x v="7"/>
    <s v="2019-Août"/>
    <n v="1740.67857142857"/>
  </r>
  <r>
    <x v="27"/>
    <x v="8"/>
    <s v="2019-Septembre"/>
    <n v="1753.5119047619"/>
  </r>
  <r>
    <x v="27"/>
    <x v="9"/>
    <s v="2019-Octobre"/>
    <n v="1725.95652173913"/>
  </r>
  <r>
    <x v="27"/>
    <x v="10"/>
    <s v="2019-Novembre"/>
    <n v="1774.7857142857099"/>
  </r>
  <r>
    <x v="27"/>
    <x v="11"/>
    <s v="2019-Décembre"/>
    <n v="1771.38"/>
  </r>
  <r>
    <x v="28"/>
    <x v="0"/>
    <s v="2020-Janvier"/>
    <n v="1773.0909090909099"/>
  </r>
  <r>
    <x v="28"/>
    <x v="1"/>
    <s v="2020-février"/>
    <n v="1688.095"/>
  </r>
  <r>
    <x v="28"/>
    <x v="2"/>
    <s v="2020-Mars"/>
    <n v="1610.8909090909101"/>
  </r>
  <r>
    <x v="28"/>
    <x v="3"/>
    <s v="2020-Avril"/>
    <n v="1459.9345000000001"/>
  </r>
  <r>
    <x v="28"/>
    <x v="4"/>
    <s v="2020-Mai"/>
    <n v="1466.3715789473699"/>
  </r>
  <r>
    <x v="28"/>
    <x v="5"/>
    <s v="2020-Juin"/>
    <n v="1568.57045454545"/>
  </r>
  <r>
    <x v="28"/>
    <x v="6"/>
    <s v="2020-Juillet"/>
    <n v="1643.8121739130399"/>
  </r>
  <r>
    <x v="28"/>
    <x v="7"/>
    <s v="2020-Août"/>
    <n v="1738.5552380952399"/>
  </r>
  <r>
    <x v="28"/>
    <x v="8"/>
    <s v="2020-Septembre"/>
    <n v="1743.77454545455"/>
  </r>
  <r>
    <x v="28"/>
    <x v="9"/>
    <s v="2020-Octobre"/>
    <n v="1806.1018181818199"/>
  </r>
  <r>
    <x v="28"/>
    <x v="10"/>
    <s v="2020-Novembre"/>
    <n v="1935.2833333333299"/>
  </r>
  <r>
    <x v="28"/>
    <x v="11"/>
    <s v="2020-Décembre"/>
    <n v="2014.6719047618999"/>
  </r>
  <r>
    <x v="29"/>
    <x v="0"/>
    <s v="2021-Janvier"/>
    <n v="2003.9755"/>
  </r>
  <r>
    <x v="29"/>
    <x v="1"/>
    <s v="2021-février"/>
    <n v="2078.5934999999999"/>
  </r>
  <r>
    <x v="29"/>
    <x v="2"/>
    <s v="2021-Mars"/>
    <n v="2190.48260869565"/>
  </r>
  <r>
    <x v="29"/>
    <x v="3"/>
    <s v="2021-Avril"/>
    <n v="2319.3924999999999"/>
  </r>
  <r>
    <x v="29"/>
    <x v="4"/>
    <s v="2021-Mai"/>
    <n v="2434.7764999999999"/>
  </r>
  <r>
    <x v="29"/>
    <x v="5"/>
    <s v="2021-Juin"/>
    <n v="2446.6454545454499"/>
  </r>
  <r>
    <x v="29"/>
    <x v="6"/>
    <s v="2021-Juillet"/>
    <n v="2497.6354545454501"/>
  </r>
  <r>
    <x v="29"/>
    <x v="7"/>
    <s v="2021-Août"/>
    <n v="2602.9919047619101"/>
  </r>
  <r>
    <x v="29"/>
    <x v="8"/>
    <s v="2021-Septembre"/>
    <n v="2834.5568181818198"/>
  </r>
  <r>
    <x v="29"/>
    <x v="9"/>
    <s v="2021-Octobre"/>
    <n v="2934.39380952381"/>
  </r>
  <r>
    <x v="29"/>
    <x v="10"/>
    <s v="2021-Novembre"/>
    <n v="2636.4522727272702"/>
  </r>
  <r>
    <x v="29"/>
    <x v="11"/>
    <s v="2021-Décembre"/>
    <n v="2695.5314285714298"/>
  </r>
  <r>
    <x v="30"/>
    <x v="0"/>
    <s v="2022-Janvier"/>
    <n v="3005.9805000000001"/>
  </r>
  <r>
    <x v="30"/>
    <x v="1"/>
    <s v="2022-février"/>
    <n v="3245.7855"/>
  </r>
  <r>
    <x v="30"/>
    <x v="2"/>
    <s v="2022-Mars"/>
    <n v="3498.3730434782601"/>
  </r>
  <r>
    <x v="30"/>
    <x v="3"/>
    <s v="2022-Avril"/>
    <n v="3246.99047619048"/>
  </r>
  <r>
    <x v="30"/>
    <x v="4"/>
    <s v="2022-Mai"/>
    <n v="2839.50545454545"/>
  </r>
  <r>
    <x v="30"/>
    <x v="5"/>
    <s v="2022-Juin"/>
    <n v="2575.6695454545502"/>
  </r>
  <r>
    <x v="30"/>
    <x v="6"/>
    <s v="2022-Juillet"/>
    <n v="2408.42333333333"/>
  </r>
  <r>
    <x v="30"/>
    <x v="7"/>
    <s v="2022-Août"/>
    <n v="2433.9160869565198"/>
  </r>
  <r>
    <x v="30"/>
    <x v="8"/>
    <s v="2022-Septembre"/>
    <n v="2224.7559090909099"/>
  </r>
  <r>
    <x v="30"/>
    <x v="9"/>
    <s v="2022-Octobre"/>
    <n v="2255.5352380952399"/>
  </r>
  <r>
    <x v="30"/>
    <x v="10"/>
    <s v="2022-Novembre"/>
    <n v="2350.7163636363598"/>
  </r>
  <r>
    <x v="30"/>
    <x v="11"/>
    <s v="2022-Décembre"/>
    <n v="2398.2068181818199"/>
  </r>
  <r>
    <x v="31"/>
    <x v="0"/>
    <s v="2023-Janvier"/>
    <n v="2494.9009090909099"/>
  </r>
  <r>
    <x v="31"/>
    <x v="1"/>
    <s v="2023-février"/>
    <n v="2416.1815000000001"/>
  </r>
  <r>
    <x v="31"/>
    <x v="2"/>
    <s v="2023-Mars"/>
    <n v="2296.4169565217398"/>
  </r>
  <r>
    <x v="31"/>
    <x v="3"/>
    <s v="2023-Avril"/>
    <n v="2338.1309999999999"/>
  </r>
  <r>
    <x v="31"/>
    <x v="4"/>
    <s v="2023-Mai"/>
    <n v="2274.0126086956502"/>
  </r>
  <r>
    <x v="31"/>
    <x v="5"/>
    <s v="2023-Juin"/>
    <n v="2184.75363636364"/>
  </r>
  <r>
    <x v="31"/>
    <x v="6"/>
    <s v="2023-Juillet"/>
    <n v="2159.73238095238"/>
  </r>
  <r>
    <x v="31"/>
    <x v="7"/>
    <s v="2023-Août"/>
    <n v="2135.5817391304299"/>
  </r>
  <r>
    <x v="31"/>
    <x v="8"/>
    <s v="2023-Septembre"/>
    <n v="2184.6738095238102"/>
  </r>
  <r>
    <x v="31"/>
    <x v="9"/>
    <s v="2023-Octobre"/>
    <n v="2194.3909090909101"/>
  </r>
  <r>
    <x v="31"/>
    <x v="10"/>
    <s v="2023-Novembre"/>
    <n v="2202.25545454545"/>
  </r>
  <r>
    <x v="31"/>
    <x v="11"/>
    <s v="2023-Décembre"/>
    <n v="2192.0052380952402"/>
  </r>
  <r>
    <x v="32"/>
    <x v="0"/>
    <s v="2024-Janvier"/>
    <n v="2201.5665217391302"/>
  </r>
  <r>
    <x v="32"/>
    <x v="1"/>
    <s v="2024-février"/>
    <n v="2179.4571428571398"/>
  </r>
  <r>
    <x v="32"/>
    <x v="2"/>
    <s v="2024-Mars"/>
    <n v="2229.4419047618999"/>
  </r>
  <r>
    <x v="32"/>
    <x v="3"/>
    <s v="2024-Avril"/>
    <n v="2499.22818181818"/>
  </r>
  <r>
    <x v="32"/>
    <x v="4"/>
    <s v="2024-Mai"/>
    <n v="2566.3186956521699"/>
  </r>
  <r>
    <x v="32"/>
    <x v="5"/>
    <s v="2024-Juin"/>
    <n v="2497.6055000000001"/>
  </r>
  <r>
    <x v="32"/>
    <x v="6"/>
    <s v="2024-Juillet"/>
    <n v="2349.1252173912999"/>
  </r>
  <r>
    <x v="32"/>
    <x v="7"/>
    <s v="2024-Août"/>
    <n v="2352.46727272727"/>
  </r>
  <r>
    <x v="32"/>
    <x v="8"/>
    <s v="2024-Septembre"/>
    <n v="2457.4780952381002"/>
  </r>
  <r>
    <x v="32"/>
    <x v="9"/>
    <s v="2024-Octobre"/>
    <n v="2595.5830434782602"/>
  </r>
  <r>
    <x v="32"/>
    <x v="10"/>
    <s v="2024-Novembre"/>
    <n v="2582.18857142857"/>
  </r>
  <r>
    <x v="32"/>
    <x v="11"/>
    <s v="2024-Décembre"/>
    <n v="2540.88227272727"/>
  </r>
  <r>
    <x v="33"/>
    <x v="0"/>
    <s v="2025-Janvier"/>
    <n v="2571.3704347826101"/>
  </r>
  <r>
    <x v="33"/>
    <x v="1"/>
    <s v="2025-février"/>
    <n v="2655.7725"/>
  </r>
  <r>
    <x v="33"/>
    <x v="2"/>
    <s v="2025-Mars"/>
    <n v="2651.5985714285698"/>
  </r>
  <r>
    <x v="33"/>
    <x v="3"/>
    <s v="2025-Avril"/>
    <n v="2367.8004545454601"/>
  </r>
  <r>
    <x v="33"/>
    <x v="4"/>
    <s v="2025-Mai"/>
    <n v="2447.34409090909"/>
  </r>
  <r>
    <x v="33"/>
    <x v="5"/>
    <s v="2025-Juin"/>
    <n v="2525.9590476190501"/>
  </r>
  <r>
    <x v="33"/>
    <x v="6"/>
    <s v="2025-Juillet"/>
    <n v="2606.3708695652199"/>
  </r>
  <r>
    <x v="33"/>
    <x v="7"/>
    <s v="2025-Août"/>
    <n v="2598.7357142857099"/>
  </r>
  <r>
    <x v="33"/>
    <x v="8"/>
    <s v="2025-Septembre"/>
    <n v="2654.4790909090898"/>
  </r>
  <r>
    <x v="33"/>
    <x v="9"/>
    <s v="2025-Octobre"/>
    <n v="2793.0869565217399"/>
  </r>
  <r>
    <x v="34"/>
    <x v="12"/>
    <m/>
    <m/>
  </r>
  <r>
    <x v="35"/>
    <x v="12"/>
    <m/>
    <m/>
  </r>
  <r>
    <x v="34"/>
    <x v="12"/>
    <m/>
    <m/>
  </r>
  <r>
    <x v="34"/>
    <x v="12"/>
    <m/>
    <m/>
  </r>
  <r>
    <x v="34"/>
    <x v="12"/>
    <m/>
    <m/>
  </r>
  <r>
    <x v="34"/>
    <x v="12"/>
    <m/>
    <m/>
  </r>
  <r>
    <x v="34"/>
    <x v="12"/>
    <m/>
    <m/>
  </r>
  <r>
    <x v="34"/>
    <x v="12"/>
    <m/>
    <m/>
  </r>
  <r>
    <x v="34"/>
    <x v="1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5" cacheId="3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A3:O41" firstHeaderRow="1" firstDataRow="2" firstDataCol="1"/>
  <pivotFields count="4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n="moyenne" x="34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omme de US dollars" fld="3" baseField="0" baseItem="0"/>
  </dataFields>
  <formats count="2">
    <format dxfId="3">
      <pivotArea type="topRight" dataOnly="0" labelOnly="1" outline="0" offset="M1" fieldPosition="0"/>
    </format>
    <format dxfId="2">
      <pivotArea dataOnly="0" labelOnly="1" grandCol="1" outline="0" fieldPosition="0"/>
    </format>
  </formats>
  <conditionalFormats count="68">
    <conditionalFormat priority="6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4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5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6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7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8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9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4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5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6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7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8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9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4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5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6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7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8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9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4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5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6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7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8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9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4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5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6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7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8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9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4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5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6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7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8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29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1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2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33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61"/>
  <sheetViews>
    <sheetView tabSelected="1" topLeftCell="A31" workbookViewId="0">
      <selection activeCell="K65" sqref="K65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13" width="12" bestFit="1" customWidth="1"/>
    <col min="14" max="14" width="6.28515625" bestFit="1" customWidth="1"/>
    <col min="15" max="15" width="12.5703125" bestFit="1" customWidth="1"/>
  </cols>
  <sheetData>
    <row r="3" spans="1:17" x14ac:dyDescent="0.25">
      <c r="A3" s="9" t="s">
        <v>879</v>
      </c>
      <c r="B3" s="9" t="s">
        <v>866</v>
      </c>
      <c r="O3" s="11"/>
      <c r="P3" s="11"/>
      <c r="Q3" s="11"/>
    </row>
    <row r="4" spans="1:17" x14ac:dyDescent="0.25">
      <c r="A4" s="9" t="s">
        <v>829</v>
      </c>
      <c r="B4" t="s">
        <v>867</v>
      </c>
      <c r="C4" t="s">
        <v>868</v>
      </c>
      <c r="D4" t="s">
        <v>869</v>
      </c>
      <c r="E4" t="s">
        <v>870</v>
      </c>
      <c r="F4" t="s">
        <v>871</v>
      </c>
      <c r="G4" t="s">
        <v>872</v>
      </c>
      <c r="H4" t="s">
        <v>873</v>
      </c>
      <c r="I4" t="s">
        <v>874</v>
      </c>
      <c r="J4" t="s">
        <v>875</v>
      </c>
      <c r="K4" t="s">
        <v>876</v>
      </c>
      <c r="L4" t="s">
        <v>877</v>
      </c>
      <c r="M4" t="s">
        <v>878</v>
      </c>
      <c r="N4" t="s">
        <v>864</v>
      </c>
      <c r="O4" s="11" t="s">
        <v>865</v>
      </c>
      <c r="P4" s="11" t="s">
        <v>880</v>
      </c>
      <c r="Q4" s="11" t="s">
        <v>881</v>
      </c>
    </row>
    <row r="5" spans="1:17" x14ac:dyDescent="0.25">
      <c r="A5" s="10" t="s">
        <v>830</v>
      </c>
      <c r="B5" s="1">
        <v>1181.22729492188</v>
      </c>
      <c r="C5" s="1">
        <v>1270.75</v>
      </c>
      <c r="D5" s="1">
        <v>1282.02270507813</v>
      </c>
      <c r="E5" s="1">
        <v>1317.125</v>
      </c>
      <c r="F5" s="1">
        <v>1306.71069335938</v>
      </c>
      <c r="G5" s="1">
        <v>1275.27270507813</v>
      </c>
      <c r="H5" s="1">
        <v>1314.34790039063</v>
      </c>
      <c r="I5" s="1">
        <v>1305.55004882813</v>
      </c>
      <c r="J5" s="1">
        <v>1270.21435546875</v>
      </c>
      <c r="K5" s="1">
        <v>1180.84106445313</v>
      </c>
      <c r="L5" s="1">
        <v>1162.21435546875</v>
      </c>
      <c r="M5" s="1">
        <v>1209.02380371094</v>
      </c>
      <c r="N5" s="1"/>
      <c r="O5" s="1">
        <v>15075.299926757851</v>
      </c>
      <c r="P5">
        <f>AVERAGE(B5:M5)</f>
        <v>1256.2749938964876</v>
      </c>
      <c r="Q5">
        <f>STDEVP(B5:M5)</f>
        <v>54.678743053028228</v>
      </c>
    </row>
    <row r="6" spans="1:17" x14ac:dyDescent="0.25">
      <c r="A6" s="10" t="s">
        <v>831</v>
      </c>
      <c r="B6" s="1">
        <v>1208.09997558594</v>
      </c>
      <c r="C6" s="1">
        <v>1203.15002441406</v>
      </c>
      <c r="D6" s="1">
        <v>1150.47827148438</v>
      </c>
      <c r="E6" s="1">
        <v>1110.27502441406</v>
      </c>
      <c r="F6" s="1">
        <v>1125.42102050781</v>
      </c>
      <c r="G6" s="1">
        <v>1168.09094238281</v>
      </c>
      <c r="H6" s="1">
        <v>1203.18176269531</v>
      </c>
      <c r="I6" s="1">
        <v>1172.76196289063</v>
      </c>
      <c r="J6" s="1">
        <v>1116.90905761719</v>
      </c>
      <c r="K6" s="1">
        <v>1089.42858886719</v>
      </c>
      <c r="L6" s="1">
        <v>1040.02270507813</v>
      </c>
      <c r="M6" s="1">
        <v>1091.34997558594</v>
      </c>
      <c r="N6" s="1"/>
      <c r="O6" s="1">
        <v>13679.169311523448</v>
      </c>
      <c r="P6">
        <f t="shared" ref="P6:P38" si="0">AVERAGE(B6:M6)</f>
        <v>1139.9307759602873</v>
      </c>
      <c r="Q6">
        <f t="shared" ref="Q6:Q41" si="1">STDEVP(B6:M6)</f>
        <v>50.940092067193412</v>
      </c>
    </row>
    <row r="7" spans="1:17" x14ac:dyDescent="0.25">
      <c r="A7" s="10" t="s">
        <v>832</v>
      </c>
      <c r="B7" s="1">
        <v>1170</v>
      </c>
      <c r="C7" s="1">
        <v>1270.52502441406</v>
      </c>
      <c r="D7" s="1">
        <v>1287.69567871094</v>
      </c>
      <c r="E7" s="1">
        <v>1277.28942871094</v>
      </c>
      <c r="F7" s="1">
        <v>1321.04760742188</v>
      </c>
      <c r="G7" s="1">
        <v>1402.36364746094</v>
      </c>
      <c r="H7" s="1">
        <v>1491.95239257813</v>
      </c>
      <c r="I7" s="1">
        <v>1457.06823730469</v>
      </c>
      <c r="J7" s="1">
        <v>1571.09094238281</v>
      </c>
      <c r="K7" s="1">
        <v>1694.26196289063</v>
      </c>
      <c r="L7" s="1">
        <v>1885.88635253906</v>
      </c>
      <c r="M7" s="1">
        <v>1878.375</v>
      </c>
      <c r="N7" s="1"/>
      <c r="O7" s="1">
        <v>17707.556274414081</v>
      </c>
      <c r="P7">
        <f t="shared" si="0"/>
        <v>1475.6296895345067</v>
      </c>
      <c r="Q7">
        <f t="shared" si="1"/>
        <v>228.66227094262655</v>
      </c>
    </row>
    <row r="8" spans="1:17" x14ac:dyDescent="0.25">
      <c r="A8" s="10" t="s">
        <v>833</v>
      </c>
      <c r="B8" s="1">
        <v>2059.35717773438</v>
      </c>
      <c r="C8" s="1">
        <v>1905.44995117188</v>
      </c>
      <c r="D8" s="1">
        <v>1799.97827148438</v>
      </c>
      <c r="E8" s="1">
        <v>1849.44445800781</v>
      </c>
      <c r="F8" s="1">
        <v>1765.47619628906</v>
      </c>
      <c r="G8" s="1">
        <v>1775.79541015625</v>
      </c>
      <c r="H8" s="1">
        <v>1867.27502441406</v>
      </c>
      <c r="I8" s="1">
        <v>1890.04541015625</v>
      </c>
      <c r="J8" s="1">
        <v>1761.72497558594</v>
      </c>
      <c r="K8" s="1">
        <v>1671.95458984375</v>
      </c>
      <c r="L8" s="1">
        <v>1655.92858886719</v>
      </c>
      <c r="M8" s="1">
        <v>1657.81579589844</v>
      </c>
      <c r="N8" s="1"/>
      <c r="O8" s="1">
        <v>21660.245849609393</v>
      </c>
      <c r="P8">
        <f t="shared" si="0"/>
        <v>1805.0204874674494</v>
      </c>
      <c r="Q8">
        <f t="shared" si="1"/>
        <v>113.2009692101644</v>
      </c>
    </row>
    <row r="9" spans="1:17" x14ac:dyDescent="0.25">
      <c r="A9" s="10" t="s">
        <v>834</v>
      </c>
      <c r="B9" s="1">
        <v>1584.47619628906</v>
      </c>
      <c r="C9" s="1">
        <v>1594.57141113281</v>
      </c>
      <c r="D9" s="1">
        <v>1614.85717773438</v>
      </c>
      <c r="E9" s="1">
        <v>1587.40002441406</v>
      </c>
      <c r="F9" s="1">
        <v>1593.85717773438</v>
      </c>
      <c r="G9" s="1">
        <v>1485.75</v>
      </c>
      <c r="H9" s="1">
        <v>1460.02172851563</v>
      </c>
      <c r="I9" s="1">
        <v>1466.78576660156</v>
      </c>
      <c r="J9" s="1">
        <v>1405.76196289063</v>
      </c>
      <c r="K9" s="1">
        <v>1336.02172851563</v>
      </c>
      <c r="L9" s="1">
        <v>1451.04760742188</v>
      </c>
      <c r="M9" s="1">
        <v>1500.97619628906</v>
      </c>
      <c r="N9" s="1"/>
      <c r="O9" s="1">
        <v>18081.526977539081</v>
      </c>
      <c r="P9">
        <f t="shared" si="0"/>
        <v>1506.7939147949235</v>
      </c>
      <c r="Q9">
        <f t="shared" si="1"/>
        <v>84.77306884060566</v>
      </c>
    </row>
    <row r="10" spans="1:17" x14ac:dyDescent="0.25">
      <c r="A10" s="10" t="s">
        <v>835</v>
      </c>
      <c r="B10" s="1">
        <v>1575.13635253906</v>
      </c>
      <c r="C10" s="1">
        <v>1582.05297851563</v>
      </c>
      <c r="D10" s="1">
        <v>1631.18420410156</v>
      </c>
      <c r="E10" s="1">
        <v>1561.11364746094</v>
      </c>
      <c r="F10" s="1">
        <v>1625.44995117188</v>
      </c>
      <c r="G10" s="1">
        <v>1567.1904296875</v>
      </c>
      <c r="H10" s="1">
        <v>1591.5869140625</v>
      </c>
      <c r="I10" s="1">
        <v>1710.02502441406</v>
      </c>
      <c r="J10" s="1">
        <v>1611.61901855469</v>
      </c>
      <c r="K10" s="1">
        <v>1607.32604980469</v>
      </c>
      <c r="L10" s="1">
        <v>1598.32495117188</v>
      </c>
      <c r="M10" s="1">
        <v>1530.52380371094</v>
      </c>
      <c r="N10" s="1"/>
      <c r="O10" s="1">
        <v>19191.533325195331</v>
      </c>
      <c r="P10">
        <f t="shared" si="0"/>
        <v>1599.2944437662775</v>
      </c>
      <c r="Q10">
        <f t="shared" si="1"/>
        <v>43.144910860195559</v>
      </c>
    </row>
    <row r="11" spans="1:17" x14ac:dyDescent="0.25">
      <c r="A11" s="10" t="s">
        <v>836</v>
      </c>
      <c r="B11" s="1">
        <v>1485.47497558594</v>
      </c>
      <c r="C11" s="1">
        <v>1465.17504882813</v>
      </c>
      <c r="D11" s="1">
        <v>1438.31823730469</v>
      </c>
      <c r="E11" s="1">
        <v>1417.55004882813</v>
      </c>
      <c r="F11" s="1">
        <v>1364.31579589844</v>
      </c>
      <c r="G11" s="1">
        <v>1305.52380371094</v>
      </c>
      <c r="H11" s="1">
        <v>1312.66662597656</v>
      </c>
      <c r="I11" s="1">
        <v>1310.55004882813</v>
      </c>
      <c r="J11" s="1">
        <v>1341.88635253906</v>
      </c>
      <c r="K11" s="1">
        <v>1303.70458984375</v>
      </c>
      <c r="L11" s="1">
        <v>1295.30004882813</v>
      </c>
      <c r="M11" s="1">
        <v>1250.39477539063</v>
      </c>
      <c r="N11" s="1"/>
      <c r="O11" s="1">
        <v>16290.860351562533</v>
      </c>
      <c r="P11">
        <f t="shared" si="0"/>
        <v>1357.5716959635445</v>
      </c>
      <c r="Q11">
        <f t="shared" si="1"/>
        <v>72.772161160146993</v>
      </c>
    </row>
    <row r="12" spans="1:17" x14ac:dyDescent="0.25">
      <c r="A12" s="10" t="s">
        <v>837</v>
      </c>
      <c r="B12" s="1">
        <v>1219.40002441406</v>
      </c>
      <c r="C12" s="1">
        <v>1186.4749999999999</v>
      </c>
      <c r="D12" s="1">
        <v>1179.8636363636399</v>
      </c>
      <c r="E12" s="1">
        <v>1277.8499999999999</v>
      </c>
      <c r="F12" s="1">
        <v>1323.1315789473699</v>
      </c>
      <c r="G12" s="1">
        <v>1315.52272727273</v>
      </c>
      <c r="H12" s="1">
        <v>1403.3636363636399</v>
      </c>
      <c r="I12" s="1">
        <v>1421.69047619048</v>
      </c>
      <c r="J12" s="1">
        <v>1492.0681818181799</v>
      </c>
      <c r="K12" s="1">
        <v>1473.3333333333301</v>
      </c>
      <c r="L12" s="1">
        <v>1472.4318181818201</v>
      </c>
      <c r="M12" s="1">
        <v>1554.73529411765</v>
      </c>
      <c r="N12" s="1"/>
      <c r="O12" s="1">
        <v>16319.8657070029</v>
      </c>
      <c r="P12">
        <f t="shared" si="0"/>
        <v>1359.9888089169083</v>
      </c>
      <c r="Q12">
        <f t="shared" si="1"/>
        <v>122.1166910992757</v>
      </c>
    </row>
    <row r="13" spans="1:17" x14ac:dyDescent="0.25">
      <c r="A13" s="10" t="s">
        <v>838</v>
      </c>
      <c r="B13" s="1">
        <v>1679.85</v>
      </c>
      <c r="C13" s="1">
        <v>1679.425</v>
      </c>
      <c r="D13" s="1">
        <v>1579.64</v>
      </c>
      <c r="E13" s="1">
        <v>1458.7449999999999</v>
      </c>
      <c r="F13" s="1">
        <v>1468.0652173912999</v>
      </c>
      <c r="G13" s="1">
        <v>1509.3727272727299</v>
      </c>
      <c r="H13" s="1">
        <v>1564.37619047619</v>
      </c>
      <c r="I13" s="1">
        <v>1530.3347826086999</v>
      </c>
      <c r="J13" s="1">
        <v>1602.30952380952</v>
      </c>
      <c r="K13" s="1">
        <v>1501.24545454545</v>
      </c>
      <c r="L13" s="1">
        <v>1475.55454545455</v>
      </c>
      <c r="M13" s="1">
        <v>1569.0550000000001</v>
      </c>
      <c r="N13" s="1"/>
      <c r="O13" s="1">
        <v>18617.973441558439</v>
      </c>
      <c r="P13">
        <f t="shared" si="0"/>
        <v>1551.4977867965365</v>
      </c>
      <c r="Q13">
        <f t="shared" si="1"/>
        <v>72.32261494841957</v>
      </c>
    </row>
    <row r="14" spans="1:17" x14ac:dyDescent="0.25">
      <c r="A14" s="10" t="s">
        <v>839</v>
      </c>
      <c r="B14" s="1">
        <v>1619.8772727272701</v>
      </c>
      <c r="C14" s="1">
        <v>1607.03</v>
      </c>
      <c r="D14" s="1">
        <v>1512.1727272727301</v>
      </c>
      <c r="E14" s="1">
        <v>1499.4833333333299</v>
      </c>
      <c r="F14" s="1">
        <v>1542.3904761904801</v>
      </c>
      <c r="G14" s="1">
        <v>1470.8333333333301</v>
      </c>
      <c r="H14" s="1">
        <v>1418.6227272727299</v>
      </c>
      <c r="I14" s="1">
        <v>1377.8454545454499</v>
      </c>
      <c r="J14" s="1">
        <v>1345.9949999999999</v>
      </c>
      <c r="K14" s="1">
        <v>1283.53043478261</v>
      </c>
      <c r="L14" s="1">
        <v>1334.45454545455</v>
      </c>
      <c r="M14" s="1">
        <v>1348.72352941176</v>
      </c>
      <c r="N14" s="1"/>
      <c r="O14" s="1">
        <v>17360.958834324236</v>
      </c>
      <c r="P14">
        <f t="shared" si="0"/>
        <v>1446.7465695270196</v>
      </c>
      <c r="Q14">
        <f t="shared" si="1"/>
        <v>106.84935288256685</v>
      </c>
    </row>
    <row r="15" spans="1:17" x14ac:dyDescent="0.25">
      <c r="A15" s="10" t="s">
        <v>840</v>
      </c>
      <c r="B15" s="1">
        <v>1371.3636363636399</v>
      </c>
      <c r="C15" s="1">
        <v>1371.08</v>
      </c>
      <c r="D15" s="1">
        <v>1404.9849999999999</v>
      </c>
      <c r="E15" s="1">
        <v>1370.38571428571</v>
      </c>
      <c r="F15" s="1">
        <v>1344.4272727272701</v>
      </c>
      <c r="G15" s="1">
        <v>1356.93333333333</v>
      </c>
      <c r="H15" s="1">
        <v>1337.8652173912999</v>
      </c>
      <c r="I15" s="1">
        <v>1293.3571428571399</v>
      </c>
      <c r="J15" s="1">
        <v>1301.7</v>
      </c>
      <c r="K15" s="1">
        <v>1311.46086956522</v>
      </c>
      <c r="L15" s="1">
        <v>1373.2666666666701</v>
      </c>
      <c r="M15" s="1">
        <v>1375.8619047619</v>
      </c>
      <c r="N15" s="1"/>
      <c r="O15" s="1">
        <v>16212.686757952179</v>
      </c>
      <c r="P15">
        <f t="shared" si="0"/>
        <v>1351.0572298293482</v>
      </c>
      <c r="Q15">
        <f t="shared" si="1"/>
        <v>32.646348949341835</v>
      </c>
    </row>
    <row r="16" spans="1:17" x14ac:dyDescent="0.25">
      <c r="A16" s="10" t="s">
        <v>841</v>
      </c>
      <c r="B16" s="1">
        <v>1379.26818181818</v>
      </c>
      <c r="C16" s="1">
        <v>1421.5350000000001</v>
      </c>
      <c r="D16" s="1">
        <v>1386.5238095238101</v>
      </c>
      <c r="E16" s="1">
        <v>1334.29</v>
      </c>
      <c r="F16" s="1">
        <v>1400.3975</v>
      </c>
      <c r="G16" s="1">
        <v>1410.5166666666701</v>
      </c>
      <c r="H16" s="1">
        <v>1440.8804347826101</v>
      </c>
      <c r="I16" s="1">
        <v>1457.2249999999999</v>
      </c>
      <c r="J16" s="1">
        <v>1416.5772727272699</v>
      </c>
      <c r="K16" s="1">
        <v>1477.22391304348</v>
      </c>
      <c r="L16" s="1">
        <v>1511.585</v>
      </c>
      <c r="M16" s="1">
        <v>1557.7785714285701</v>
      </c>
      <c r="N16" s="1"/>
      <c r="O16" s="1">
        <v>17193.80134999059</v>
      </c>
      <c r="P16">
        <f t="shared" si="0"/>
        <v>1432.8167791658825</v>
      </c>
      <c r="Q16">
        <f t="shared" si="1"/>
        <v>58.530605799381945</v>
      </c>
    </row>
    <row r="17" spans="1:17" x14ac:dyDescent="0.25">
      <c r="A17" s="10" t="s">
        <v>842</v>
      </c>
      <c r="B17" s="1">
        <v>1608.8928571428601</v>
      </c>
      <c r="C17" s="1">
        <v>1685.2249999999999</v>
      </c>
      <c r="D17" s="1">
        <v>1657.3543478260899</v>
      </c>
      <c r="E17" s="1">
        <v>1731.68</v>
      </c>
      <c r="F17" s="1">
        <v>1625.25</v>
      </c>
      <c r="G17" s="1">
        <v>1682.0295454545501</v>
      </c>
      <c r="H17" s="1">
        <v>1707.8409090909099</v>
      </c>
      <c r="I17" s="1">
        <v>1692.07142857143</v>
      </c>
      <c r="J17" s="1">
        <v>1731</v>
      </c>
      <c r="K17" s="1">
        <v>1830.3571428571399</v>
      </c>
      <c r="L17" s="1">
        <v>1817.3409090909099</v>
      </c>
      <c r="M17" s="1">
        <v>1852.9095238095199</v>
      </c>
      <c r="N17" s="1"/>
      <c r="O17" s="1">
        <v>20621.951663843411</v>
      </c>
      <c r="P17">
        <f t="shared" si="0"/>
        <v>1718.495971986951</v>
      </c>
      <c r="Q17">
        <f t="shared" si="1"/>
        <v>75.484497495444188</v>
      </c>
    </row>
    <row r="18" spans="1:17" x14ac:dyDescent="0.25">
      <c r="A18" s="10" t="s">
        <v>843</v>
      </c>
      <c r="B18" s="1">
        <v>1836.175</v>
      </c>
      <c r="C18" s="1">
        <v>1882.7750000000001</v>
      </c>
      <c r="D18" s="1">
        <v>1987.5</v>
      </c>
      <c r="E18" s="1">
        <v>1891.9880952381</v>
      </c>
      <c r="F18" s="1">
        <v>1741.45</v>
      </c>
      <c r="G18" s="1">
        <v>1731.9431818181799</v>
      </c>
      <c r="H18" s="1">
        <v>1783.2619047619</v>
      </c>
      <c r="I18" s="1">
        <v>1871.27272727273</v>
      </c>
      <c r="J18" s="1">
        <v>1837.6931818181799</v>
      </c>
      <c r="K18" s="1">
        <v>1934.1428571428601</v>
      </c>
      <c r="L18" s="1">
        <v>2056.9704545454501</v>
      </c>
      <c r="M18" s="1">
        <v>2250.9</v>
      </c>
      <c r="N18" s="1"/>
      <c r="O18" s="1">
        <v>22806.072402597401</v>
      </c>
      <c r="P18">
        <f t="shared" si="0"/>
        <v>1900.5060335497835</v>
      </c>
      <c r="Q18">
        <f t="shared" si="1"/>
        <v>139.26603517191509</v>
      </c>
    </row>
    <row r="19" spans="1:17" x14ac:dyDescent="0.25">
      <c r="A19" s="10" t="s">
        <v>844</v>
      </c>
      <c r="B19" s="1">
        <v>2383.3023809523802</v>
      </c>
      <c r="C19" s="1">
        <v>2453.375</v>
      </c>
      <c r="D19" s="1">
        <v>2432.47826086957</v>
      </c>
      <c r="E19" s="1">
        <v>2623.8583333333299</v>
      </c>
      <c r="F19" s="1">
        <v>2852.0714285714298</v>
      </c>
      <c r="G19" s="1">
        <v>2490.95454545455</v>
      </c>
      <c r="H19" s="1">
        <v>2511.8333333333298</v>
      </c>
      <c r="I19" s="1">
        <v>2461.5522727272701</v>
      </c>
      <c r="J19" s="1">
        <v>2484.38095238095</v>
      </c>
      <c r="K19" s="1">
        <v>2657.1477272727302</v>
      </c>
      <c r="L19" s="1">
        <v>2702.1363636363599</v>
      </c>
      <c r="M19" s="1">
        <v>2823.6710526315801</v>
      </c>
      <c r="N19" s="1"/>
      <c r="O19" s="1">
        <v>30876.761651163481</v>
      </c>
      <c r="P19">
        <f t="shared" si="0"/>
        <v>2573.0634709302899</v>
      </c>
      <c r="Q19">
        <f t="shared" si="1"/>
        <v>149.40125967810897</v>
      </c>
    </row>
    <row r="20" spans="1:17" x14ac:dyDescent="0.25">
      <c r="A20" s="10" t="s">
        <v>845</v>
      </c>
      <c r="B20" s="1">
        <v>2799.0590909090902</v>
      </c>
      <c r="C20" s="1">
        <v>2839.05</v>
      </c>
      <c r="D20" s="1">
        <v>2757.07954545455</v>
      </c>
      <c r="E20" s="1">
        <v>2817.0526315789498</v>
      </c>
      <c r="F20" s="1">
        <v>2804.6047619047599</v>
      </c>
      <c r="G20" s="1">
        <v>2681.3095238095202</v>
      </c>
      <c r="H20" s="1">
        <v>2738.0909090909099</v>
      </c>
      <c r="I20" s="1">
        <v>2512.6022727272698</v>
      </c>
      <c r="J20" s="1">
        <v>2394.9625000000001</v>
      </c>
      <c r="K20" s="1">
        <v>2444.5326086956502</v>
      </c>
      <c r="L20" s="1">
        <v>2507.15227272727</v>
      </c>
      <c r="M20" s="1">
        <v>2382.8333333333298</v>
      </c>
      <c r="N20" s="1"/>
      <c r="O20" s="1">
        <v>31678.329450231304</v>
      </c>
      <c r="P20">
        <f t="shared" si="0"/>
        <v>2639.8607875192752</v>
      </c>
      <c r="Q20">
        <f t="shared" si="1"/>
        <v>169.96642339187369</v>
      </c>
    </row>
    <row r="21" spans="1:17" x14ac:dyDescent="0.25">
      <c r="A21" s="10" t="s">
        <v>846</v>
      </c>
      <c r="B21" s="1">
        <v>2456.125</v>
      </c>
      <c r="C21" s="1">
        <v>2784.8928571428601</v>
      </c>
      <c r="D21" s="1">
        <v>3012.0526315789498</v>
      </c>
      <c r="E21" s="1">
        <v>2968.0340909090901</v>
      </c>
      <c r="F21" s="1">
        <v>2908.2775000000001</v>
      </c>
      <c r="G21" s="1">
        <v>2967.86904761905</v>
      </c>
      <c r="H21" s="1">
        <v>3067.45652173913</v>
      </c>
      <c r="I21" s="1">
        <v>2762.56</v>
      </c>
      <c r="J21" s="1">
        <v>2524.1477272727302</v>
      </c>
      <c r="K21" s="1">
        <v>2122.0282608695702</v>
      </c>
      <c r="L21" s="1">
        <v>1857.13</v>
      </c>
      <c r="M21" s="1">
        <v>1504.4166666666699</v>
      </c>
      <c r="N21" s="1"/>
      <c r="O21" s="1">
        <v>30934.990303798058</v>
      </c>
      <c r="P21">
        <f t="shared" si="0"/>
        <v>2577.9158586498384</v>
      </c>
      <c r="Q21">
        <f t="shared" si="1"/>
        <v>484.41911694158688</v>
      </c>
    </row>
    <row r="22" spans="1:17" x14ac:dyDescent="0.25">
      <c r="A22" s="10" t="s">
        <v>847</v>
      </c>
      <c r="B22" s="1">
        <v>1420.3595238095199</v>
      </c>
      <c r="C22" s="1">
        <v>1338.0625</v>
      </c>
      <c r="D22" s="1">
        <v>1338.07954545455</v>
      </c>
      <c r="E22" s="1">
        <v>1431.8125</v>
      </c>
      <c r="F22" s="1">
        <v>1466.6710526315801</v>
      </c>
      <c r="G22" s="1">
        <v>1579.6272727272701</v>
      </c>
      <c r="H22" s="1">
        <v>1670.5565217391299</v>
      </c>
      <c r="I22" s="1">
        <v>1927.6375</v>
      </c>
      <c r="J22" s="1">
        <v>1835.59772727273</v>
      </c>
      <c r="K22" s="1">
        <v>1875.6636363636401</v>
      </c>
      <c r="L22" s="1">
        <v>1956.5476190476199</v>
      </c>
      <c r="M22" s="1">
        <v>2181.25714285714</v>
      </c>
      <c r="N22" s="1"/>
      <c r="O22" s="1">
        <v>20021.87254190318</v>
      </c>
      <c r="P22">
        <f t="shared" si="0"/>
        <v>1668.4893784919316</v>
      </c>
      <c r="Q22">
        <f t="shared" si="1"/>
        <v>269.02304506810003</v>
      </c>
    </row>
    <row r="23" spans="1:17" x14ac:dyDescent="0.25">
      <c r="A23" s="10" t="s">
        <v>848</v>
      </c>
      <c r="B23" s="1">
        <v>2230.1125000000002</v>
      </c>
      <c r="C23" s="1">
        <v>2053.27</v>
      </c>
      <c r="D23" s="1">
        <v>2210.53043478261</v>
      </c>
      <c r="E23" s="1">
        <v>2314.2775000000001</v>
      </c>
      <c r="F23" s="1">
        <v>2044.71052631579</v>
      </c>
      <c r="G23" s="1">
        <v>1929.4090909090901</v>
      </c>
      <c r="H23" s="1">
        <v>1989.04545454545</v>
      </c>
      <c r="I23" s="1">
        <v>2110.4404761904798</v>
      </c>
      <c r="J23" s="1">
        <v>2171.2431818181799</v>
      </c>
      <c r="K23" s="1">
        <v>2342.1785714285702</v>
      </c>
      <c r="L23" s="1">
        <v>2324.04545454545</v>
      </c>
      <c r="M23" s="1">
        <v>2356.6690476190502</v>
      </c>
      <c r="N23" s="1"/>
      <c r="O23" s="1">
        <v>26075.932238154666</v>
      </c>
      <c r="P23">
        <f t="shared" si="0"/>
        <v>2172.9943531795557</v>
      </c>
      <c r="Q23">
        <f t="shared" si="1"/>
        <v>140.73799191235662</v>
      </c>
    </row>
    <row r="24" spans="1:17" x14ac:dyDescent="0.25">
      <c r="A24" s="10" t="s">
        <v>849</v>
      </c>
      <c r="B24" s="1">
        <v>2439.6999999999998</v>
      </c>
      <c r="C24" s="1">
        <v>2515.2600000000002</v>
      </c>
      <c r="D24" s="1">
        <v>2555.5</v>
      </c>
      <c r="E24" s="1">
        <v>2667.4166666666702</v>
      </c>
      <c r="F24" s="1">
        <v>2587.2125000000001</v>
      </c>
      <c r="G24" s="1">
        <v>2557.7613636363599</v>
      </c>
      <c r="H24" s="1">
        <v>2525.4285714285702</v>
      </c>
      <c r="I24" s="1">
        <v>2380.9749999999999</v>
      </c>
      <c r="J24" s="1">
        <v>2293.4613636363601</v>
      </c>
      <c r="K24" s="1">
        <v>2180.6476190476201</v>
      </c>
      <c r="L24" s="1">
        <v>2079.98181818182</v>
      </c>
      <c r="M24" s="1">
        <v>2024.375</v>
      </c>
      <c r="N24" s="1"/>
      <c r="O24" s="1">
        <v>28807.719902597401</v>
      </c>
      <c r="P24">
        <f t="shared" si="0"/>
        <v>2400.6433252164502</v>
      </c>
      <c r="Q24">
        <f t="shared" si="1"/>
        <v>201.98000836681109</v>
      </c>
    </row>
    <row r="25" spans="1:17" x14ac:dyDescent="0.25">
      <c r="A25" s="10" t="s">
        <v>850</v>
      </c>
      <c r="B25" s="1">
        <v>2151.3333333333298</v>
      </c>
      <c r="C25" s="1">
        <v>2207.9166666666702</v>
      </c>
      <c r="D25" s="1">
        <v>2184.1590909090901</v>
      </c>
      <c r="E25" s="1">
        <v>2048.5052631578901</v>
      </c>
      <c r="F25" s="1">
        <v>2002.52272727273</v>
      </c>
      <c r="G25" s="1">
        <v>1885.5131578947401</v>
      </c>
      <c r="H25" s="1">
        <v>1876.25</v>
      </c>
      <c r="I25" s="1">
        <v>1843.3272727272699</v>
      </c>
      <c r="J25" s="1">
        <v>2064.12</v>
      </c>
      <c r="K25" s="1">
        <v>1974.30434782609</v>
      </c>
      <c r="L25" s="1">
        <v>1948.82954545455</v>
      </c>
      <c r="M25" s="1">
        <v>2086.7631578947398</v>
      </c>
      <c r="N25" s="1"/>
      <c r="O25" s="1">
        <v>24273.544563137104</v>
      </c>
      <c r="P25">
        <f t="shared" si="0"/>
        <v>2022.7953802614254</v>
      </c>
      <c r="Q25">
        <f t="shared" si="1"/>
        <v>116.9240515979567</v>
      </c>
    </row>
    <row r="26" spans="1:17" x14ac:dyDescent="0.25">
      <c r="A26" s="10" t="s">
        <v>851</v>
      </c>
      <c r="B26" s="1">
        <v>2037.60681818182</v>
      </c>
      <c r="C26" s="1">
        <v>2053.5949999999998</v>
      </c>
      <c r="D26" s="1">
        <v>1911.2825</v>
      </c>
      <c r="E26" s="1">
        <v>1861.0238095238101</v>
      </c>
      <c r="F26" s="1">
        <v>1832.57142857143</v>
      </c>
      <c r="G26" s="1">
        <v>1814.5374999999999</v>
      </c>
      <c r="H26" s="1">
        <v>1769.6086956521699</v>
      </c>
      <c r="I26" s="1">
        <v>1816.2357142857099</v>
      </c>
      <c r="J26" s="1">
        <v>1761.30476190476</v>
      </c>
      <c r="K26" s="1">
        <v>1814.5826086956499</v>
      </c>
      <c r="L26" s="1">
        <v>1747.9642857142901</v>
      </c>
      <c r="M26" s="1">
        <v>1739.81</v>
      </c>
      <c r="N26" s="1"/>
      <c r="O26" s="1">
        <v>22160.123122529643</v>
      </c>
      <c r="P26">
        <f t="shared" si="0"/>
        <v>1846.6769268774704</v>
      </c>
      <c r="Q26">
        <f t="shared" si="1"/>
        <v>100.51131380199848</v>
      </c>
    </row>
    <row r="27" spans="1:17" x14ac:dyDescent="0.25">
      <c r="A27" s="10" t="s">
        <v>852</v>
      </c>
      <c r="B27" s="1">
        <v>1727.41136363636</v>
      </c>
      <c r="C27" s="1">
        <v>1695.165</v>
      </c>
      <c r="D27" s="1">
        <v>1705.36666666667</v>
      </c>
      <c r="E27" s="1">
        <v>1810.675</v>
      </c>
      <c r="F27" s="1">
        <v>1751.05</v>
      </c>
      <c r="G27" s="1">
        <v>1838.9523809523801</v>
      </c>
      <c r="H27" s="1">
        <v>1948.30434782609</v>
      </c>
      <c r="I27" s="1">
        <v>2030.4925000000001</v>
      </c>
      <c r="J27" s="1">
        <v>1990.4318181818201</v>
      </c>
      <c r="K27" s="1">
        <v>1946.1891304347801</v>
      </c>
      <c r="L27" s="1">
        <v>2055.5549999999998</v>
      </c>
      <c r="M27" s="1">
        <v>1909.4595238095201</v>
      </c>
      <c r="N27" s="1"/>
      <c r="O27" s="1">
        <v>22409.052731507622</v>
      </c>
      <c r="P27">
        <f t="shared" si="0"/>
        <v>1867.4210609589684</v>
      </c>
      <c r="Q27">
        <f t="shared" si="1"/>
        <v>124.07704745441566</v>
      </c>
    </row>
    <row r="28" spans="1:17" x14ac:dyDescent="0.25">
      <c r="A28" s="10" t="s">
        <v>853</v>
      </c>
      <c r="B28" s="1">
        <v>1814.7190476190499</v>
      </c>
      <c r="C28" s="1">
        <v>1817.82</v>
      </c>
      <c r="D28" s="1">
        <v>1773.8636363636399</v>
      </c>
      <c r="E28" s="1">
        <v>1819.1875</v>
      </c>
      <c r="F28" s="1">
        <v>1804.03947368421</v>
      </c>
      <c r="G28" s="1">
        <v>1687.72727272727</v>
      </c>
      <c r="H28" s="1">
        <v>1639.5</v>
      </c>
      <c r="I28" s="1">
        <v>1548.125</v>
      </c>
      <c r="J28" s="1">
        <v>1589.60227272727</v>
      </c>
      <c r="K28" s="1">
        <v>1516.4886363636399</v>
      </c>
      <c r="L28" s="1">
        <v>1467.8928571428601</v>
      </c>
      <c r="M28" s="1">
        <v>1497.2023809523801</v>
      </c>
      <c r="N28" s="1"/>
      <c r="O28" s="1">
        <v>19976.168077580322</v>
      </c>
      <c r="P28">
        <f t="shared" si="0"/>
        <v>1664.6806731316935</v>
      </c>
      <c r="Q28">
        <f t="shared" si="1"/>
        <v>132.38196861925576</v>
      </c>
    </row>
    <row r="29" spans="1:17" x14ac:dyDescent="0.25">
      <c r="A29" s="10" t="s">
        <v>854</v>
      </c>
      <c r="B29" s="1">
        <v>1481.1</v>
      </c>
      <c r="C29" s="1">
        <v>1531.2619047619</v>
      </c>
      <c r="D29" s="1">
        <v>1531.0119047619</v>
      </c>
      <c r="E29" s="1">
        <v>1571.2261904761899</v>
      </c>
      <c r="F29" s="1">
        <v>1550.625</v>
      </c>
      <c r="G29" s="1">
        <v>1593.5068181818201</v>
      </c>
      <c r="H29" s="1">
        <v>1629.0476190476199</v>
      </c>
      <c r="I29" s="1">
        <v>1639.2840909090901</v>
      </c>
      <c r="J29" s="1">
        <v>1592.3636363636399</v>
      </c>
      <c r="K29" s="1">
        <v>1665.9047619047601</v>
      </c>
      <c r="L29" s="1">
        <v>1737.1136363636399</v>
      </c>
      <c r="M29" s="1">
        <v>1727.7375</v>
      </c>
      <c r="N29" s="1"/>
      <c r="O29" s="1">
        <v>19250.18306277056</v>
      </c>
      <c r="P29">
        <f t="shared" si="0"/>
        <v>1604.1819218975468</v>
      </c>
      <c r="Q29">
        <f t="shared" si="1"/>
        <v>75.62263184578805</v>
      </c>
    </row>
    <row r="30" spans="1:17" x14ac:dyDescent="0.25">
      <c r="A30" s="10" t="s">
        <v>855</v>
      </c>
      <c r="B30" s="1">
        <v>1791.2380952381</v>
      </c>
      <c r="C30" s="1">
        <v>1860.75</v>
      </c>
      <c r="D30" s="1">
        <v>1901.46739130435</v>
      </c>
      <c r="E30" s="1">
        <v>1921.2222222222199</v>
      </c>
      <c r="F30" s="1">
        <v>1913.0238095238101</v>
      </c>
      <c r="G30" s="1">
        <v>1885.28636363636</v>
      </c>
      <c r="H30" s="1">
        <v>1902.9642857142901</v>
      </c>
      <c r="I30" s="1">
        <v>2030.0113636363601</v>
      </c>
      <c r="J30" s="1">
        <v>2096.4880952381</v>
      </c>
      <c r="K30" s="1">
        <v>2131.4886363636401</v>
      </c>
      <c r="L30" s="1">
        <v>2097.4409090909098</v>
      </c>
      <c r="M30" s="1">
        <v>2080.4736842105299</v>
      </c>
      <c r="N30" s="1"/>
      <c r="O30" s="1">
        <v>23611.85485617867</v>
      </c>
      <c r="P30">
        <f t="shared" si="0"/>
        <v>1967.6545713482226</v>
      </c>
      <c r="Q30">
        <f t="shared" si="1"/>
        <v>107.99021331965001</v>
      </c>
    </row>
    <row r="31" spans="1:17" x14ac:dyDescent="0.25">
      <c r="A31" s="10" t="s">
        <v>856</v>
      </c>
      <c r="B31" s="1">
        <v>2209.7272727272698</v>
      </c>
      <c r="C31" s="1">
        <v>2181.7874999999999</v>
      </c>
      <c r="D31" s="1">
        <v>2069.2380952381</v>
      </c>
      <c r="E31" s="1">
        <v>2254.6875</v>
      </c>
      <c r="F31" s="1">
        <v>2299.6666666666702</v>
      </c>
      <c r="G31" s="1">
        <v>2237.61904761905</v>
      </c>
      <c r="H31" s="1">
        <v>2082.2386363636401</v>
      </c>
      <c r="I31" s="1">
        <v>2051.5113636363599</v>
      </c>
      <c r="J31" s="1">
        <v>2026.4625000000001</v>
      </c>
      <c r="K31" s="1">
        <v>2029.8586956521699</v>
      </c>
      <c r="L31" s="1">
        <v>1938.5113636363601</v>
      </c>
      <c r="M31" s="1">
        <v>1920.3815789473699</v>
      </c>
      <c r="N31" s="1"/>
      <c r="O31" s="1">
        <v>25301.690220486988</v>
      </c>
      <c r="P31">
        <f t="shared" si="0"/>
        <v>2108.4741850405821</v>
      </c>
      <c r="Q31">
        <f t="shared" si="1"/>
        <v>120.02894182581377</v>
      </c>
    </row>
    <row r="32" spans="1:17" x14ac:dyDescent="0.25">
      <c r="A32" s="10" t="s">
        <v>857</v>
      </c>
      <c r="B32" s="1">
        <v>1853.7159090909099</v>
      </c>
      <c r="C32" s="1">
        <v>1862.9875</v>
      </c>
      <c r="D32" s="1">
        <v>1871.2142857142901</v>
      </c>
      <c r="E32" s="1">
        <v>1845.425</v>
      </c>
      <c r="F32" s="1">
        <v>1781.2619047619</v>
      </c>
      <c r="G32" s="1">
        <v>1755.95</v>
      </c>
      <c r="H32" s="1">
        <v>1796.98913043478</v>
      </c>
      <c r="I32" s="1">
        <v>1740.67857142857</v>
      </c>
      <c r="J32" s="1">
        <v>1753.5119047619</v>
      </c>
      <c r="K32" s="1">
        <v>1725.95652173913</v>
      </c>
      <c r="L32" s="1">
        <v>1774.7857142857099</v>
      </c>
      <c r="M32" s="1">
        <v>1771.38</v>
      </c>
      <c r="N32" s="1"/>
      <c r="O32" s="1">
        <v>21533.856442217195</v>
      </c>
      <c r="P32">
        <f t="shared" si="0"/>
        <v>1794.488036851433</v>
      </c>
      <c r="Q32">
        <f t="shared" si="1"/>
        <v>48.769191538526663</v>
      </c>
    </row>
    <row r="33" spans="1:17" x14ac:dyDescent="0.25">
      <c r="A33" s="10" t="s">
        <v>858</v>
      </c>
      <c r="B33" s="1">
        <v>1773.0909090909099</v>
      </c>
      <c r="C33" s="1">
        <v>1688.095</v>
      </c>
      <c r="D33" s="1">
        <v>1610.8909090909101</v>
      </c>
      <c r="E33" s="1">
        <v>1459.9345000000001</v>
      </c>
      <c r="F33" s="1">
        <v>1466.3715789473699</v>
      </c>
      <c r="G33" s="1">
        <v>1568.57045454545</v>
      </c>
      <c r="H33" s="1">
        <v>1643.8121739130399</v>
      </c>
      <c r="I33" s="1">
        <v>1738.5552380952399</v>
      </c>
      <c r="J33" s="1">
        <v>1743.77454545455</v>
      </c>
      <c r="K33" s="1">
        <v>1806.1018181818199</v>
      </c>
      <c r="L33" s="1">
        <v>1935.2833333333299</v>
      </c>
      <c r="M33" s="1">
        <v>2014.6719047618999</v>
      </c>
      <c r="N33" s="1"/>
      <c r="O33" s="1">
        <v>20449.15236541452</v>
      </c>
      <c r="P33">
        <f t="shared" si="0"/>
        <v>1704.09603045121</v>
      </c>
      <c r="Q33">
        <f t="shared" si="1"/>
        <v>161.99397076568476</v>
      </c>
    </row>
    <row r="34" spans="1:17" x14ac:dyDescent="0.25">
      <c r="A34" s="10" t="s">
        <v>859</v>
      </c>
      <c r="B34" s="1">
        <v>2003.9755</v>
      </c>
      <c r="C34" s="1">
        <v>2078.5934999999999</v>
      </c>
      <c r="D34" s="1">
        <v>2190.48260869565</v>
      </c>
      <c r="E34" s="1">
        <v>2319.3924999999999</v>
      </c>
      <c r="F34" s="1">
        <v>2434.7764999999999</v>
      </c>
      <c r="G34" s="1">
        <v>2446.6454545454499</v>
      </c>
      <c r="H34" s="1">
        <v>2497.6354545454501</v>
      </c>
      <c r="I34" s="1">
        <v>2602.9919047619101</v>
      </c>
      <c r="J34" s="1">
        <v>2834.5568181818198</v>
      </c>
      <c r="K34" s="1">
        <v>2934.39380952381</v>
      </c>
      <c r="L34" s="1">
        <v>2636.4522727272702</v>
      </c>
      <c r="M34" s="1">
        <v>2695.5314285714298</v>
      </c>
      <c r="N34" s="1"/>
      <c r="O34" s="1">
        <v>29675.42775155279</v>
      </c>
      <c r="P34">
        <f t="shared" si="0"/>
        <v>2472.9523126293993</v>
      </c>
      <c r="Q34">
        <f t="shared" si="1"/>
        <v>276.65511672842229</v>
      </c>
    </row>
    <row r="35" spans="1:17" x14ac:dyDescent="0.25">
      <c r="A35" s="10" t="s">
        <v>860</v>
      </c>
      <c r="B35" s="1">
        <v>3005.9805000000001</v>
      </c>
      <c r="C35" s="1">
        <v>3245.7855</v>
      </c>
      <c r="D35" s="1">
        <v>3498.3730434782601</v>
      </c>
      <c r="E35" s="1">
        <v>3246.99047619048</v>
      </c>
      <c r="F35" s="1">
        <v>2839.50545454545</v>
      </c>
      <c r="G35" s="1">
        <v>2575.6695454545502</v>
      </c>
      <c r="H35" s="1">
        <v>2408.42333333333</v>
      </c>
      <c r="I35" s="1">
        <v>2433.9160869565198</v>
      </c>
      <c r="J35" s="1">
        <v>2224.7559090909099</v>
      </c>
      <c r="K35" s="1">
        <v>2255.5352380952399</v>
      </c>
      <c r="L35" s="1">
        <v>2350.7163636363598</v>
      </c>
      <c r="M35" s="1">
        <v>2398.2068181818199</v>
      </c>
      <c r="N35" s="1"/>
      <c r="O35" s="1">
        <v>32483.858268962915</v>
      </c>
      <c r="P35">
        <f t="shared" si="0"/>
        <v>2706.988189080243</v>
      </c>
      <c r="Q35">
        <f t="shared" si="1"/>
        <v>423.7471187109233</v>
      </c>
    </row>
    <row r="36" spans="1:17" x14ac:dyDescent="0.25">
      <c r="A36" s="10" t="s">
        <v>861</v>
      </c>
      <c r="B36" s="1">
        <v>2494.9009090909099</v>
      </c>
      <c r="C36" s="1">
        <v>2416.1815000000001</v>
      </c>
      <c r="D36" s="1">
        <v>2296.4169565217398</v>
      </c>
      <c r="E36" s="1">
        <v>2338.1309999999999</v>
      </c>
      <c r="F36" s="1">
        <v>2274.0126086956502</v>
      </c>
      <c r="G36" s="1">
        <v>2184.75363636364</v>
      </c>
      <c r="H36" s="1">
        <v>2159.73238095238</v>
      </c>
      <c r="I36" s="1">
        <v>2135.5817391304299</v>
      </c>
      <c r="J36" s="1">
        <v>2184.6738095238102</v>
      </c>
      <c r="K36" s="1">
        <v>2194.3909090909101</v>
      </c>
      <c r="L36" s="1">
        <v>2202.25545454545</v>
      </c>
      <c r="M36" s="1">
        <v>2192.0052380952402</v>
      </c>
      <c r="N36" s="1"/>
      <c r="O36" s="1">
        <v>27073.036142010162</v>
      </c>
      <c r="P36">
        <f t="shared" si="0"/>
        <v>2256.0863451675136</v>
      </c>
      <c r="Q36">
        <f t="shared" si="1"/>
        <v>106.51530447763827</v>
      </c>
    </row>
    <row r="37" spans="1:17" x14ac:dyDescent="0.25">
      <c r="A37" s="10" t="s">
        <v>862</v>
      </c>
      <c r="B37" s="1">
        <v>2201.5665217391302</v>
      </c>
      <c r="C37" s="1">
        <v>2179.4571428571398</v>
      </c>
      <c r="D37" s="1">
        <v>2229.4419047618999</v>
      </c>
      <c r="E37" s="1">
        <v>2499.22818181818</v>
      </c>
      <c r="F37" s="1">
        <v>2566.3186956521699</v>
      </c>
      <c r="G37" s="1">
        <v>2497.6055000000001</v>
      </c>
      <c r="H37" s="1">
        <v>2349.1252173912999</v>
      </c>
      <c r="I37" s="1">
        <v>2352.46727272727</v>
      </c>
      <c r="J37" s="1">
        <v>2457.4780952381002</v>
      </c>
      <c r="K37" s="1">
        <v>2595.5830434782602</v>
      </c>
      <c r="L37" s="1">
        <v>2582.18857142857</v>
      </c>
      <c r="M37" s="1">
        <v>2540.88227272727</v>
      </c>
      <c r="N37" s="1"/>
      <c r="O37" s="1">
        <v>29051.342419819292</v>
      </c>
      <c r="P37">
        <f t="shared" si="0"/>
        <v>2420.9452016516075</v>
      </c>
      <c r="Q37">
        <f t="shared" si="1"/>
        <v>146.71973562444211</v>
      </c>
    </row>
    <row r="38" spans="1:17" x14ac:dyDescent="0.25">
      <c r="A38" s="10" t="s">
        <v>863</v>
      </c>
      <c r="B38" s="1">
        <v>2571.3704347826101</v>
      </c>
      <c r="C38" s="1">
        <v>2655.7725</v>
      </c>
      <c r="D38" s="1">
        <v>2651.5985714285698</v>
      </c>
      <c r="E38" s="1">
        <v>2367.8004545454601</v>
      </c>
      <c r="F38" s="1">
        <v>2447.34409090909</v>
      </c>
      <c r="G38" s="1">
        <v>2525.9590476190501</v>
      </c>
      <c r="H38" s="1">
        <v>2606.3708695652199</v>
      </c>
      <c r="I38" s="1">
        <v>2598.7357142857099</v>
      </c>
      <c r="J38" s="1">
        <v>2654.4790909090898</v>
      </c>
      <c r="K38" s="1">
        <v>2793.0869565217399</v>
      </c>
      <c r="L38" s="1"/>
      <c r="M38" s="1"/>
      <c r="N38" s="1"/>
      <c r="O38" s="1">
        <v>25872.517730566538</v>
      </c>
      <c r="P38">
        <f t="shared" si="0"/>
        <v>2587.2517730566537</v>
      </c>
      <c r="Q38">
        <f t="shared" si="1"/>
        <v>113.12060469865968</v>
      </c>
    </row>
    <row r="39" spans="1:17" x14ac:dyDescent="0.25">
      <c r="A39" s="10" t="s">
        <v>824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t="e">
        <f t="shared" si="1"/>
        <v>#DIV/0!</v>
      </c>
    </row>
    <row r="40" spans="1:17" x14ac:dyDescent="0.25">
      <c r="A40" s="10" t="s">
        <v>880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Q40" t="e">
        <f t="shared" si="1"/>
        <v>#DIV/0!</v>
      </c>
    </row>
    <row r="41" spans="1:17" x14ac:dyDescent="0.25">
      <c r="A41" s="10" t="s">
        <v>865</v>
      </c>
      <c r="B41" s="1">
        <v>63824.994055323659</v>
      </c>
      <c r="C41" s="1">
        <v>64584.298509905151</v>
      </c>
      <c r="D41" s="1">
        <v>64643.102049960034</v>
      </c>
      <c r="E41" s="1">
        <v>64870.50109511536</v>
      </c>
      <c r="F41" s="1">
        <v>64174.028196293293</v>
      </c>
      <c r="G41" s="1">
        <v>63162.365477323685</v>
      </c>
      <c r="H41" s="1">
        <v>63709.65682538793</v>
      </c>
      <c r="I41" s="1">
        <v>63674.264865294841</v>
      </c>
      <c r="J41" s="1">
        <v>63484.346535168952</v>
      </c>
      <c r="K41" s="1">
        <v>63700.896117038283</v>
      </c>
      <c r="L41" s="1">
        <v>61032.311384266795</v>
      </c>
      <c r="M41" s="1">
        <v>61476.150905375311</v>
      </c>
      <c r="N41" s="1"/>
      <c r="O41" s="1">
        <v>762336.9160164533</v>
      </c>
      <c r="Q41">
        <f t="shared" si="1"/>
        <v>1130.1000113158198</v>
      </c>
    </row>
    <row r="42" spans="1:17" x14ac:dyDescent="0.25">
      <c r="A42" s="10" t="s">
        <v>880</v>
      </c>
      <c r="B42">
        <f>AVERAGE(B5:B38)</f>
        <v>1877.2057075095195</v>
      </c>
      <c r="C42">
        <f t="shared" ref="C42:M42" si="2">AVERAGE(C5:C38)</f>
        <v>1899.5381914677985</v>
      </c>
      <c r="D42">
        <f t="shared" si="2"/>
        <v>1901.2677073517657</v>
      </c>
      <c r="E42">
        <f t="shared" si="2"/>
        <v>1907.9559145622165</v>
      </c>
      <c r="F42">
        <f t="shared" si="2"/>
        <v>1887.4714175380379</v>
      </c>
      <c r="G42">
        <f t="shared" si="2"/>
        <v>1857.7166316859907</v>
      </c>
      <c r="H42">
        <f t="shared" si="2"/>
        <v>1873.8134360408214</v>
      </c>
      <c r="I42">
        <f t="shared" si="2"/>
        <v>1872.7724960380835</v>
      </c>
      <c r="J42">
        <f t="shared" si="2"/>
        <v>1867.1866627990869</v>
      </c>
      <c r="K42">
        <f t="shared" si="2"/>
        <v>1873.5557681481848</v>
      </c>
      <c r="L42">
        <f t="shared" si="2"/>
        <v>1849.463981341418</v>
      </c>
      <c r="M42">
        <f t="shared" si="2"/>
        <v>1862.9136637992519</v>
      </c>
    </row>
    <row r="59" spans="1:1" x14ac:dyDescent="0.25">
      <c r="A59" t="s">
        <v>882</v>
      </c>
    </row>
    <row r="60" spans="1:1" x14ac:dyDescent="0.25">
      <c r="A60" t="s">
        <v>883</v>
      </c>
    </row>
    <row r="61" spans="1:1" x14ac:dyDescent="0.25">
      <c r="A61" t="s">
        <v>884</v>
      </c>
    </row>
  </sheetData>
  <conditionalFormatting pivot="1" sqref="B5:M5">
    <cfRule type="cellIs" dxfId="138" priority="68" operator="greaterThan">
      <formula>1239.669678</formula>
    </cfRule>
  </conditionalFormatting>
  <conditionalFormatting pivot="1" sqref="B5:M5">
    <cfRule type="cellIs" dxfId="137" priority="67" operator="lessThan">
      <formula>1239.669678</formula>
    </cfRule>
  </conditionalFormatting>
  <conditionalFormatting pivot="1" sqref="B6:M6">
    <cfRule type="cellIs" dxfId="136" priority="66" operator="greaterThan">
      <formula>1124.06134</formula>
    </cfRule>
  </conditionalFormatting>
  <conditionalFormatting pivot="1" sqref="B7:M7">
    <cfRule type="cellIs" dxfId="135" priority="65" operator="greaterThan">
      <formula>1527.943176</formula>
    </cfRule>
  </conditionalFormatting>
  <conditionalFormatting pivot="1" sqref="B8:M8">
    <cfRule type="cellIs" dxfId="134" priority="64" operator="greaterThan">
      <formula>1857.642883</formula>
    </cfRule>
  </conditionalFormatting>
  <conditionalFormatting pivot="1" sqref="B9:M9">
    <cfRule type="cellIs" dxfId="133" priority="63" operator="greaterThan">
      <formula>1475.439453</formula>
    </cfRule>
  </conditionalFormatting>
  <conditionalFormatting pivot="1" sqref="B10:M10">
    <cfRule type="cellIs" dxfId="132" priority="62" operator="greaterThan">
      <formula>1620.274414</formula>
    </cfRule>
  </conditionalFormatting>
  <conditionalFormatting pivot="1" sqref="B11:M11">
    <cfRule type="cellIs" dxfId="131" priority="61" operator="greaterThan">
      <formula>1367.934875</formula>
    </cfRule>
  </conditionalFormatting>
  <conditionalFormatting pivot="1" sqref="B12:M12">
    <cfRule type="cellIs" dxfId="130" priority="60" operator="greaterThan">
      <formula>1367.299465</formula>
    </cfRule>
  </conditionalFormatting>
  <conditionalFormatting pivot="1" sqref="B13:M13">
    <cfRule type="cellIs" dxfId="129" priority="59" operator="greaterThan">
      <formula>1569.2975</formula>
    </cfRule>
  </conditionalFormatting>
  <conditionalFormatting pivot="1" sqref="B14:M14">
    <cfRule type="cellIs" dxfId="128" priority="58" operator="greaterThan">
      <formula>1451.703854</formula>
    </cfRule>
  </conditionalFormatting>
  <conditionalFormatting pivot="1" sqref="B15:M15">
    <cfRule type="cellIs" dxfId="127" priority="57" operator="greaterThan">
      <formula>1349.171071</formula>
    </cfRule>
  </conditionalFormatting>
  <conditionalFormatting pivot="1" sqref="B16:M16">
    <cfRule type="cellIs" dxfId="126" priority="56" operator="greaterThan">
      <formula>1446.034286</formula>
    </cfRule>
  </conditionalFormatting>
  <conditionalFormatting pivot="1" sqref="B17:M17">
    <cfRule type="cellIs" dxfId="125" priority="55" operator="greaterThan">
      <formula>1730.90119</formula>
    </cfRule>
  </conditionalFormatting>
  <conditionalFormatting pivot="1" sqref="B18:M18">
    <cfRule type="cellIs" dxfId="124" priority="54" operator="greaterThan">
      <formula>1991.421591</formula>
    </cfRule>
  </conditionalFormatting>
  <conditionalFormatting pivot="1" sqref="B19:M19">
    <cfRule type="cellIs" dxfId="123" priority="53" operator="greaterThan">
      <formula>2617.686905</formula>
    </cfRule>
  </conditionalFormatting>
  <conditionalFormatting pivot="1" sqref="B20:M20">
    <cfRule type="cellIs" dxfId="122" priority="52" operator="greaterThan">
      <formula>2610.941667</formula>
    </cfRule>
  </conditionalFormatting>
  <conditionalFormatting pivot="1" sqref="B21:M21">
    <cfRule type="cellIs" dxfId="121" priority="51" operator="greaterThan">
      <formula>2285.936594</formula>
    </cfRule>
  </conditionalFormatting>
  <conditionalFormatting pivot="1" sqref="B22:M22">
    <cfRule type="cellIs" dxfId="120" priority="50" operator="greaterThan">
      <formula>1759.659821</formula>
    </cfRule>
  </conditionalFormatting>
  <conditionalFormatting pivot="1" sqref="B23:M23">
    <cfRule type="cellIs" dxfId="119" priority="49" operator="greaterThan">
      <formula>2143.039069</formula>
    </cfRule>
  </conditionalFormatting>
  <conditionalFormatting pivot="1" sqref="B24:M24">
    <cfRule type="cellIs" dxfId="118" priority="48" operator="greaterThan">
      <formula>2345.895833</formula>
    </cfRule>
  </conditionalFormatting>
  <conditionalFormatting pivot="1" sqref="B25:M25">
    <cfRule type="cellIs" dxfId="117" priority="47" operator="greaterThan">
      <formula>2025.62197</formula>
    </cfRule>
  </conditionalFormatting>
  <conditionalFormatting pivot="1" sqref="B26:M26">
    <cfRule type="cellIs" dxfId="116" priority="46" operator="greaterThan">
      <formula>1896.7025</formula>
    </cfRule>
  </conditionalFormatting>
  <conditionalFormatting pivot="1" sqref="B27:M27">
    <cfRule type="cellIs" dxfId="115" priority="45" operator="greaterThan">
      <formula>1875.36</formula>
    </cfRule>
  </conditionalFormatting>
  <conditionalFormatting pivot="1" sqref="B28:M28">
    <cfRule type="cellIs" dxfId="114" priority="44" operator="greaterThan">
      <formula>1643.540179</formula>
    </cfRule>
  </conditionalFormatting>
  <conditionalFormatting pivot="1" sqref="B29:M29">
    <cfRule type="cellIs" dxfId="113" priority="43" operator="greaterThan">
      <formula>1609.106818</formula>
    </cfRule>
  </conditionalFormatting>
  <conditionalFormatting pivot="1" sqref="B30:M30">
    <cfRule type="cellIs" dxfId="112" priority="42" operator="greaterThan">
      <formula>1961.363366</formula>
    </cfRule>
  </conditionalFormatting>
  <conditionalFormatting pivot="1" sqref="B31:M31">
    <cfRule type="cellIs" dxfId="111" priority="41" operator="greaterThan">
      <formula>2110.024123</formula>
    </cfRule>
  </conditionalFormatting>
  <conditionalFormatting pivot="1" sqref="B32:M32">
    <cfRule type="cellIs" dxfId="110" priority="40" operator="greaterThan">
      <formula>1798.585404</formula>
    </cfRule>
  </conditionalFormatting>
  <conditionalFormatting pivot="1" sqref="B33:M33">
    <cfRule type="cellIs" dxfId="109" priority="39" operator="greaterThan">
      <formula>1737.303202</formula>
    </cfRule>
  </conditionalFormatting>
  <conditionalFormatting pivot="1" sqref="B34:M34">
    <cfRule type="cellIs" dxfId="108" priority="38" operator="greaterThan">
      <formula>2469.184655</formula>
    </cfRule>
  </conditionalFormatting>
  <conditionalFormatting pivot="1" sqref="B35:M35">
    <cfRule type="cellIs" dxfId="107" priority="37" operator="greaterThan">
      <formula>2861.564476</formula>
    </cfRule>
  </conditionalFormatting>
  <conditionalFormatting pivot="1" sqref="B36:M36">
    <cfRule type="cellIs" dxfId="106" priority="36" operator="greaterThan">
      <formula>2315.241324</formula>
    </cfRule>
  </conditionalFormatting>
  <conditionalFormatting pivot="1" sqref="B37:M37">
    <cfRule type="cellIs" dxfId="105" priority="35" operator="greaterThan">
      <formula>2387.520093</formula>
    </cfRule>
  </conditionalFormatting>
  <conditionalFormatting pivot="1" sqref="B38:M38">
    <cfRule type="cellIs" dxfId="104" priority="34" operator="greaterThan">
      <formula>2580.443706</formula>
    </cfRule>
  </conditionalFormatting>
  <conditionalFormatting pivot="1" sqref="B6:M6">
    <cfRule type="cellIs" dxfId="103" priority="33" operator="lessThan">
      <formula>1124.06134</formula>
    </cfRule>
  </conditionalFormatting>
  <conditionalFormatting pivot="1" sqref="B7:M7">
    <cfRule type="cellIs" dxfId="102" priority="32" operator="lessThan">
      <formula>1527.943176</formula>
    </cfRule>
  </conditionalFormatting>
  <conditionalFormatting pivot="1" sqref="B8:M8">
    <cfRule type="cellIs" dxfId="101" priority="31" operator="lessThan">
      <formula>1857.642883</formula>
    </cfRule>
  </conditionalFormatting>
  <conditionalFormatting pivot="1" sqref="B9:M9">
    <cfRule type="cellIs" dxfId="100" priority="30" operator="lessThan">
      <formula>1475.439453</formula>
    </cfRule>
  </conditionalFormatting>
  <conditionalFormatting pivot="1" sqref="B10:M10">
    <cfRule type="cellIs" dxfId="99" priority="29" operator="lessThan">
      <formula>1620.274414</formula>
    </cfRule>
  </conditionalFormatting>
  <conditionalFormatting pivot="1" sqref="B11:M11">
    <cfRule type="cellIs" dxfId="98" priority="28" operator="lessThan">
      <formula>1367.934875</formula>
    </cfRule>
  </conditionalFormatting>
  <conditionalFormatting pivot="1" sqref="B12:M12">
    <cfRule type="cellIs" dxfId="97" priority="27" operator="lessThan">
      <formula>1367.299465</formula>
    </cfRule>
  </conditionalFormatting>
  <conditionalFormatting pivot="1" sqref="B13:M13">
    <cfRule type="cellIs" dxfId="96" priority="26" operator="lessThan">
      <formula>1569.2975</formula>
    </cfRule>
  </conditionalFormatting>
  <conditionalFormatting pivot="1" sqref="B14:M14">
    <cfRule type="cellIs" dxfId="95" priority="25" operator="lessThan">
      <formula>1451.703854</formula>
    </cfRule>
  </conditionalFormatting>
  <conditionalFormatting pivot="1" sqref="B15:M15">
    <cfRule type="cellIs" dxfId="94" priority="24" operator="lessThan">
      <formula>1349.171071</formula>
    </cfRule>
  </conditionalFormatting>
  <conditionalFormatting pivot="1" sqref="B16:M16">
    <cfRule type="cellIs" dxfId="93" priority="23" operator="lessThan">
      <formula>1446.034286</formula>
    </cfRule>
  </conditionalFormatting>
  <conditionalFormatting pivot="1" sqref="B17:M17">
    <cfRule type="cellIs" dxfId="92" priority="22" operator="lessThan">
      <formula>1730.90119</formula>
    </cfRule>
  </conditionalFormatting>
  <conditionalFormatting pivot="1" sqref="B18:M18">
    <cfRule type="cellIs" dxfId="91" priority="21" operator="lessThan">
      <formula>1991.421591</formula>
    </cfRule>
  </conditionalFormatting>
  <conditionalFormatting pivot="1" sqref="B19:M19">
    <cfRule type="cellIs" dxfId="90" priority="20" operator="lessThan">
      <formula>2617.686905</formula>
    </cfRule>
  </conditionalFormatting>
  <conditionalFormatting pivot="1" sqref="B20:M20">
    <cfRule type="cellIs" dxfId="89" priority="19" operator="lessThan">
      <formula>2610.941667</formula>
    </cfRule>
  </conditionalFormatting>
  <conditionalFormatting pivot="1" sqref="B21:M21">
    <cfRule type="cellIs" dxfId="88" priority="18" operator="lessThan">
      <formula>2285.936594</formula>
    </cfRule>
  </conditionalFormatting>
  <conditionalFormatting pivot="1" sqref="B22:M22">
    <cfRule type="cellIs" dxfId="87" priority="17" operator="lessThan">
      <formula>1759.659821</formula>
    </cfRule>
  </conditionalFormatting>
  <conditionalFormatting pivot="1" sqref="B23:M23">
    <cfRule type="cellIs" dxfId="86" priority="16" operator="lessThan">
      <formula>2143.039069</formula>
    </cfRule>
  </conditionalFormatting>
  <conditionalFormatting pivot="1" sqref="B24:M24">
    <cfRule type="cellIs" dxfId="85" priority="15" operator="lessThan">
      <formula>2345.895833</formula>
    </cfRule>
  </conditionalFormatting>
  <conditionalFormatting pivot="1" sqref="B25:M25">
    <cfRule type="cellIs" dxfId="84" priority="14" operator="lessThan">
      <formula>2025.62197</formula>
    </cfRule>
  </conditionalFormatting>
  <conditionalFormatting pivot="1" sqref="B26:M26">
    <cfRule type="cellIs" dxfId="83" priority="13" operator="lessThan">
      <formula>1896.7025</formula>
    </cfRule>
  </conditionalFormatting>
  <conditionalFormatting pivot="1" sqref="B27:M27">
    <cfRule type="cellIs" dxfId="82" priority="12" operator="lessThan">
      <formula>1875.36</formula>
    </cfRule>
  </conditionalFormatting>
  <conditionalFormatting pivot="1" sqref="B29:M29">
    <cfRule type="cellIs" dxfId="81" priority="11" operator="lessThan">
      <formula>1609.106818</formula>
    </cfRule>
  </conditionalFormatting>
  <conditionalFormatting pivot="1" sqref="B28:M28">
    <cfRule type="cellIs" dxfId="80" priority="10" operator="lessThan">
      <formula>1643.540179</formula>
    </cfRule>
  </conditionalFormatting>
  <conditionalFormatting pivot="1" sqref="B30:M30">
    <cfRule type="cellIs" dxfId="79" priority="9" operator="lessThan">
      <formula>1961.363366</formula>
    </cfRule>
  </conditionalFormatting>
  <conditionalFormatting pivot="1" sqref="B31:M31">
    <cfRule type="cellIs" dxfId="78" priority="8" operator="lessThan">
      <formula>2110.024123</formula>
    </cfRule>
  </conditionalFormatting>
  <conditionalFormatting pivot="1" sqref="B32:M32">
    <cfRule type="cellIs" dxfId="77" priority="7" operator="lessThan">
      <formula>1798.585404</formula>
    </cfRule>
  </conditionalFormatting>
  <conditionalFormatting pivot="1" sqref="B33:M33">
    <cfRule type="cellIs" dxfId="76" priority="6" operator="lessThan">
      <formula>1737.303202</formula>
    </cfRule>
  </conditionalFormatting>
  <conditionalFormatting pivot="1" sqref="B34:M34">
    <cfRule type="cellIs" dxfId="75" priority="5" operator="lessThan">
      <formula>2469.184655</formula>
    </cfRule>
  </conditionalFormatting>
  <conditionalFormatting pivot="1" sqref="B35:M35">
    <cfRule type="cellIs" dxfId="74" priority="4" operator="lessThan">
      <formula>2861.564476</formula>
    </cfRule>
  </conditionalFormatting>
  <conditionalFormatting pivot="1" sqref="B36:M36">
    <cfRule type="cellIs" dxfId="73" priority="3" operator="lessThan">
      <formula>2315.241324</formula>
    </cfRule>
  </conditionalFormatting>
  <conditionalFormatting pivot="1" sqref="B37:M37">
    <cfRule type="cellIs" dxfId="72" priority="2" operator="lessThan">
      <formula>2387.520093</formula>
    </cfRule>
  </conditionalFormatting>
  <conditionalFormatting pivot="1" sqref="B38:M38">
    <cfRule type="cellIs" dxfId="4" priority="1" operator="lessThan">
      <formula>2580.443706</formula>
    </cfRule>
  </conditionalFormatting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2"/>
  <sheetViews>
    <sheetView zoomScale="85" zoomScaleNormal="85" workbookViewId="0">
      <selection activeCell="H10" sqref="H10"/>
    </sheetView>
  </sheetViews>
  <sheetFormatPr baseColWidth="10" defaultRowHeight="15" x14ac:dyDescent="0.25"/>
  <cols>
    <col min="1" max="1" width="15" customWidth="1"/>
    <col min="2" max="2" width="15.42578125" customWidth="1"/>
    <col min="3" max="3" width="6" style="7" customWidth="1"/>
    <col min="4" max="4" width="46.5703125" bestFit="1" customWidth="1"/>
    <col min="5" max="5" width="5.5703125" style="7" customWidth="1"/>
    <col min="6" max="6" width="12" bestFit="1" customWidth="1"/>
    <col min="7" max="7" width="46.5703125" bestFit="1" customWidth="1"/>
    <col min="8" max="8" width="26.42578125" bestFit="1" customWidth="1"/>
    <col min="9" max="9" width="14" customWidth="1"/>
    <col min="10" max="10" width="9.7109375" bestFit="1" customWidth="1"/>
    <col min="11" max="76" width="16.7109375" bestFit="1" customWidth="1"/>
    <col min="77" max="77" width="15.5703125" bestFit="1" customWidth="1"/>
    <col min="78" max="95" width="16.7109375" bestFit="1" customWidth="1"/>
    <col min="96" max="96" width="15.5703125" bestFit="1" customWidth="1"/>
    <col min="97" max="138" width="16.7109375" bestFit="1" customWidth="1"/>
    <col min="139" max="139" width="15.5703125" bestFit="1" customWidth="1"/>
    <col min="140" max="162" width="16.7109375" bestFit="1" customWidth="1"/>
    <col min="163" max="163" width="15.5703125" bestFit="1" customWidth="1"/>
    <col min="164" max="168" width="16.7109375" bestFit="1" customWidth="1"/>
    <col min="169" max="169" width="14.5703125" bestFit="1" customWidth="1"/>
    <col min="170" max="227" width="16.7109375" bestFit="1" customWidth="1"/>
    <col min="228" max="228" width="15.5703125" bestFit="1" customWidth="1"/>
    <col min="229" max="284" width="16.7109375" bestFit="1" customWidth="1"/>
    <col min="285" max="285" width="15.5703125" bestFit="1" customWidth="1"/>
    <col min="286" max="293" width="16.7109375" bestFit="1" customWidth="1"/>
    <col min="294" max="294" width="15.5703125" bestFit="1" customWidth="1"/>
    <col min="295" max="300" width="16.7109375" bestFit="1" customWidth="1"/>
    <col min="301" max="301" width="15.5703125" bestFit="1" customWidth="1"/>
    <col min="302" max="339" width="16.7109375" bestFit="1" customWidth="1"/>
    <col min="340" max="340" width="15.5703125" bestFit="1" customWidth="1"/>
    <col min="341" max="383" width="16.7109375" bestFit="1" customWidth="1"/>
    <col min="384" max="384" width="15.5703125" bestFit="1" customWidth="1"/>
    <col min="385" max="407" width="16.7109375" bestFit="1" customWidth="1"/>
    <col min="408" max="408" width="15.5703125" bestFit="1" customWidth="1"/>
    <col min="409" max="416" width="16.7109375" bestFit="1" customWidth="1"/>
  </cols>
  <sheetData>
    <row r="1" spans="1:20" s="2" customFormat="1" x14ac:dyDescent="0.25">
      <c r="A1" s="3" t="s">
        <v>815</v>
      </c>
      <c r="B1" s="3" t="s">
        <v>816</v>
      </c>
      <c r="C1" s="6" t="s">
        <v>0</v>
      </c>
      <c r="D1" s="3" t="s">
        <v>407</v>
      </c>
      <c r="E1" s="6" t="s">
        <v>408</v>
      </c>
      <c r="F1" s="2" t="s">
        <v>818</v>
      </c>
      <c r="G1" s="2" t="s">
        <v>817</v>
      </c>
      <c r="H1" s="2" t="s">
        <v>821</v>
      </c>
      <c r="I1" s="2" t="s">
        <v>822</v>
      </c>
      <c r="J1" s="2" t="s">
        <v>823</v>
      </c>
    </row>
    <row r="2" spans="1:20" x14ac:dyDescent="0.25">
      <c r="A2" t="str">
        <f>LEFT(C2,4)</f>
        <v>1992</v>
      </c>
      <c r="B2" t="str">
        <f>MID(C2,6,10)</f>
        <v>Janvier</v>
      </c>
      <c r="C2" s="7" t="s">
        <v>409</v>
      </c>
      <c r="D2">
        <v>1181.22729492188</v>
      </c>
      <c r="E2" s="7">
        <v>73.634248011262699</v>
      </c>
      <c r="F2">
        <v>1</v>
      </c>
      <c r="G2">
        <f>SLOPE($D$2:$D$407,$F$2:$F$407)*F2+INTERCEPT($D$2:$D$407,$F$2:$F$407)</f>
        <v>1371.6216928701874</v>
      </c>
      <c r="H2">
        <f>(D2-G2)^2</f>
        <v>36250.026770098448</v>
      </c>
      <c r="I2">
        <f>(D2-AVERAGE($D$2:$D$407))^2</f>
        <v>485042.3770223473</v>
      </c>
      <c r="J2">
        <f>(G2-AVERAGE($D$2:$D$407))^2</f>
        <v>256092.10853097908</v>
      </c>
      <c r="S2" t="s">
        <v>819</v>
      </c>
      <c r="T2">
        <f>SLOPE($D$2:$D$407,$F$2:$F$407)</f>
        <v>2.4990392107420387</v>
      </c>
    </row>
    <row r="3" spans="1:20" x14ac:dyDescent="0.25">
      <c r="A3" t="str">
        <f t="shared" ref="A3:A66" si="0">LEFT(C3,4)</f>
        <v>1992</v>
      </c>
      <c r="B3" t="str">
        <f t="shared" ref="B3:B66" si="1">MID(C3,6,10)</f>
        <v>février</v>
      </c>
      <c r="C3" s="7" t="s">
        <v>443</v>
      </c>
      <c r="D3">
        <v>1270.75</v>
      </c>
      <c r="E3" s="7">
        <v>79.214831102002506</v>
      </c>
      <c r="F3">
        <v>2</v>
      </c>
      <c r="G3">
        <f t="shared" ref="G3:G66" si="2">SLOPE($D$2:$D$407,$F$2:$F$407)*F3+INTERCEPT($D$2:$D$407,$F$2:$F$407)</f>
        <v>1374.1207320809294</v>
      </c>
      <c r="H3">
        <f t="shared" ref="H3:H9" si="3">(D3-G3)^2</f>
        <v>10685.508250947292</v>
      </c>
      <c r="I3">
        <f t="shared" ref="I3:I66" si="4">(D3-AVERAGE($D$2:$D$407))^2</f>
        <v>368360.54482676974</v>
      </c>
      <c r="J3">
        <f t="shared" ref="J3:J66" si="5">(G3-AVERAGE($D$2:$D$407))^2</f>
        <v>253569.04895234134</v>
      </c>
      <c r="S3" t="s">
        <v>820</v>
      </c>
      <c r="T3">
        <f>INTERCEPT($D$2:$D$407,$F$2:$F$407)</f>
        <v>1369.1226536594454</v>
      </c>
    </row>
    <row r="4" spans="1:20" x14ac:dyDescent="0.25">
      <c r="A4" t="str">
        <f t="shared" si="0"/>
        <v>1992</v>
      </c>
      <c r="B4" t="str">
        <f t="shared" si="1"/>
        <v>Mars</v>
      </c>
      <c r="C4" s="7" t="s">
        <v>477</v>
      </c>
      <c r="D4">
        <v>1282.02270507813</v>
      </c>
      <c r="E4" s="7">
        <v>79.917538502220296</v>
      </c>
      <c r="F4">
        <v>3</v>
      </c>
      <c r="G4">
        <f t="shared" si="2"/>
        <v>1376.6197712916714</v>
      </c>
      <c r="H4">
        <f t="shared" si="3"/>
        <v>8948.6049362091435</v>
      </c>
      <c r="I4">
        <f t="shared" si="4"/>
        <v>354804.19755707559</v>
      </c>
      <c r="J4">
        <f t="shared" si="5"/>
        <v>251058.47976765723</v>
      </c>
    </row>
    <row r="5" spans="1:20" x14ac:dyDescent="0.25">
      <c r="A5" t="str">
        <f t="shared" si="0"/>
        <v>1992</v>
      </c>
      <c r="B5" t="str">
        <f t="shared" si="1"/>
        <v>Avril</v>
      </c>
      <c r="C5" s="7" t="s">
        <v>511</v>
      </c>
      <c r="D5">
        <v>1317.125</v>
      </c>
      <c r="E5" s="7">
        <v>82.105712701337893</v>
      </c>
      <c r="F5">
        <v>4</v>
      </c>
      <c r="G5">
        <f t="shared" si="2"/>
        <v>1379.1188105024135</v>
      </c>
      <c r="H5">
        <f t="shared" si="3"/>
        <v>3843.2325406091486</v>
      </c>
      <c r="I5">
        <f t="shared" si="4"/>
        <v>314218.69386180426</v>
      </c>
      <c r="J5">
        <f t="shared" si="5"/>
        <v>248560.40097692679</v>
      </c>
    </row>
    <row r="6" spans="1:20" x14ac:dyDescent="0.25">
      <c r="A6" t="str">
        <f t="shared" si="0"/>
        <v>1992</v>
      </c>
      <c r="B6" t="str">
        <f t="shared" si="1"/>
        <v>Mai</v>
      </c>
      <c r="C6" s="7" t="s">
        <v>545</v>
      </c>
      <c r="D6">
        <v>1306.71069335938</v>
      </c>
      <c r="E6" s="7">
        <v>81.456515344201406</v>
      </c>
      <c r="F6">
        <v>5</v>
      </c>
      <c r="G6">
        <f t="shared" si="2"/>
        <v>1381.6178497131557</v>
      </c>
      <c r="H6">
        <f t="shared" si="3"/>
        <v>5611.0820730089981</v>
      </c>
      <c r="I6">
        <f t="shared" si="4"/>
        <v>326002.67524778697</v>
      </c>
      <c r="J6">
        <f t="shared" si="5"/>
        <v>246074.81258014977</v>
      </c>
    </row>
    <row r="7" spans="1:20" x14ac:dyDescent="0.25">
      <c r="A7" t="str">
        <f t="shared" si="0"/>
        <v>1992</v>
      </c>
      <c r="B7" t="str">
        <f t="shared" si="1"/>
        <v>Juin</v>
      </c>
      <c r="C7" s="7" t="s">
        <v>579</v>
      </c>
      <c r="D7">
        <v>1275.27270507813</v>
      </c>
      <c r="E7" s="7">
        <v>79.496763282910095</v>
      </c>
      <c r="F7">
        <v>6</v>
      </c>
      <c r="G7">
        <f t="shared" si="2"/>
        <v>1384.1168889238977</v>
      </c>
      <c r="H7">
        <f t="shared" si="3"/>
        <v>11847.056357051279</v>
      </c>
      <c r="I7">
        <f t="shared" si="4"/>
        <v>362891.09483463439</v>
      </c>
      <c r="J7">
        <f t="shared" si="5"/>
        <v>243601.71457732661</v>
      </c>
    </row>
    <row r="8" spans="1:20" x14ac:dyDescent="0.25">
      <c r="A8" t="str">
        <f t="shared" si="0"/>
        <v>1992</v>
      </c>
      <c r="B8" t="str">
        <f t="shared" si="1"/>
        <v>Juillet</v>
      </c>
      <c r="C8" s="7" t="s">
        <v>613</v>
      </c>
      <c r="D8">
        <v>1314.34790039063</v>
      </c>
      <c r="E8" s="7">
        <v>81.932596449903897</v>
      </c>
      <c r="F8">
        <v>7</v>
      </c>
      <c r="G8">
        <f t="shared" si="2"/>
        <v>1386.6159281346397</v>
      </c>
      <c r="H8">
        <f t="shared" si="3"/>
        <v>5222.6678340089575</v>
      </c>
      <c r="I8">
        <f t="shared" si="4"/>
        <v>317339.82436346868</v>
      </c>
      <c r="J8">
        <f t="shared" si="5"/>
        <v>241141.10696845711</v>
      </c>
    </row>
    <row r="9" spans="1:20" x14ac:dyDescent="0.25">
      <c r="A9" t="str">
        <f t="shared" si="0"/>
        <v>1992</v>
      </c>
      <c r="B9" t="str">
        <f t="shared" si="1"/>
        <v>Août</v>
      </c>
      <c r="C9" s="7" t="s">
        <v>647</v>
      </c>
      <c r="D9">
        <v>1305.55004882813</v>
      </c>
      <c r="E9" s="7">
        <v>81.384164165360204</v>
      </c>
      <c r="F9">
        <v>8</v>
      </c>
      <c r="G9">
        <f t="shared" si="2"/>
        <v>1389.1149673453817</v>
      </c>
      <c r="H9">
        <f t="shared" si="3"/>
        <v>6983.0956067949201</v>
      </c>
      <c r="I9">
        <f t="shared" si="4"/>
        <v>327329.40049501276</v>
      </c>
      <c r="J9">
        <f t="shared" si="5"/>
        <v>238692.98975354127</v>
      </c>
    </row>
    <row r="10" spans="1:20" x14ac:dyDescent="0.25">
      <c r="A10" t="str">
        <f t="shared" si="0"/>
        <v>1992</v>
      </c>
      <c r="B10" t="str">
        <f t="shared" si="1"/>
        <v>Septembre</v>
      </c>
      <c r="C10" s="7" t="s">
        <v>681</v>
      </c>
      <c r="D10">
        <v>1270.21435546875</v>
      </c>
      <c r="E10" s="7">
        <v>79.181440591615996</v>
      </c>
      <c r="F10">
        <v>9</v>
      </c>
      <c r="G10">
        <f t="shared" si="2"/>
        <v>1391.6140065561237</v>
      </c>
      <c r="H10">
        <f>(D10-G10)^2</f>
        <v>14737.875284136084</v>
      </c>
      <c r="I10">
        <f t="shared" si="4"/>
        <v>369011.02614119969</v>
      </c>
      <c r="J10">
        <f t="shared" si="5"/>
        <v>236257.3629325791</v>
      </c>
    </row>
    <row r="11" spans="1:20" x14ac:dyDescent="0.25">
      <c r="A11" t="str">
        <f t="shared" si="0"/>
        <v>1992</v>
      </c>
      <c r="B11" t="str">
        <f t="shared" si="1"/>
        <v>Octobre</v>
      </c>
      <c r="C11" s="7" t="s">
        <v>715</v>
      </c>
      <c r="D11">
        <v>1180.84106445313</v>
      </c>
      <c r="E11" s="7">
        <v>73.610171535678603</v>
      </c>
      <c r="F11">
        <v>10</v>
      </c>
      <c r="G11">
        <f t="shared" si="2"/>
        <v>1394.1130457668658</v>
      </c>
      <c r="H11">
        <f>(D11-G11)^2</f>
        <v>45484.938013486448</v>
      </c>
      <c r="I11">
        <f t="shared" si="4"/>
        <v>485580.50649120094</v>
      </c>
      <c r="J11">
        <f t="shared" si="5"/>
        <v>233834.22650557055</v>
      </c>
    </row>
    <row r="12" spans="1:20" x14ac:dyDescent="0.25">
      <c r="A12" t="str">
        <f t="shared" si="0"/>
        <v>1992</v>
      </c>
      <c r="B12" t="str">
        <f t="shared" si="1"/>
        <v>Novembre</v>
      </c>
      <c r="C12" s="7" t="s">
        <v>749</v>
      </c>
      <c r="D12">
        <v>1162.21435546875</v>
      </c>
      <c r="E12" s="7">
        <v>72.449037082651799</v>
      </c>
      <c r="F12">
        <v>11</v>
      </c>
      <c r="G12">
        <f t="shared" si="2"/>
        <v>1396.6120849776078</v>
      </c>
      <c r="H12">
        <f>(D12-G12)^2</f>
        <v>54942.295598907651</v>
      </c>
      <c r="I12">
        <f t="shared" si="4"/>
        <v>511886.98609776696</v>
      </c>
      <c r="J12">
        <f t="shared" si="5"/>
        <v>231423.58047251566</v>
      </c>
    </row>
    <row r="13" spans="1:20" x14ac:dyDescent="0.25">
      <c r="A13" t="str">
        <f t="shared" si="0"/>
        <v>1992</v>
      </c>
      <c r="B13" t="str">
        <f t="shared" si="1"/>
        <v>Décembre</v>
      </c>
      <c r="C13" s="7" t="s">
        <v>782</v>
      </c>
      <c r="D13">
        <v>1209.02380371094</v>
      </c>
      <c r="E13" s="7">
        <v>75.367000912266604</v>
      </c>
      <c r="F13">
        <v>12</v>
      </c>
      <c r="G13">
        <f t="shared" si="2"/>
        <v>1399.1111241883498</v>
      </c>
      <c r="H13">
        <f>(D13-G13)^2</f>
        <v>36133.18940628149</v>
      </c>
      <c r="I13">
        <f t="shared" si="4"/>
        <v>447097.2748301251</v>
      </c>
      <c r="J13">
        <f t="shared" si="5"/>
        <v>229025.42483341444</v>
      </c>
    </row>
    <row r="14" spans="1:20" x14ac:dyDescent="0.25">
      <c r="A14" t="str">
        <f t="shared" si="0"/>
        <v>1993</v>
      </c>
      <c r="B14" t="str">
        <f t="shared" si="1"/>
        <v>Janvier</v>
      </c>
      <c r="C14" s="7" t="s">
        <v>410</v>
      </c>
      <c r="D14">
        <v>1208.09997558594</v>
      </c>
      <c r="E14" s="7">
        <v>75.309412174207097</v>
      </c>
      <c r="F14">
        <v>13</v>
      </c>
      <c r="G14">
        <f t="shared" si="2"/>
        <v>1401.610163399092</v>
      </c>
      <c r="H14">
        <f>(D14-G14)^2</f>
        <v>37446.19278748137</v>
      </c>
      <c r="I14">
        <f t="shared" si="4"/>
        <v>448333.56979155785</v>
      </c>
      <c r="J14">
        <f t="shared" si="5"/>
        <v>226639.75958826664</v>
      </c>
    </row>
    <row r="15" spans="1:20" x14ac:dyDescent="0.25">
      <c r="A15" t="str">
        <f t="shared" si="0"/>
        <v>1993</v>
      </c>
      <c r="B15" t="str">
        <f t="shared" si="1"/>
        <v>février</v>
      </c>
      <c r="C15" s="7" t="s">
        <v>444</v>
      </c>
      <c r="D15">
        <v>1203.15002441406</v>
      </c>
      <c r="E15" s="7">
        <v>75.000846723848099</v>
      </c>
      <c r="F15">
        <v>14</v>
      </c>
      <c r="G15">
        <f t="shared" si="2"/>
        <v>1404.109202609834</v>
      </c>
      <c r="H15">
        <f>(D15-G15)^2</f>
        <v>40384.591301120861</v>
      </c>
      <c r="I15">
        <f t="shared" si="4"/>
        <v>454986.82027862343</v>
      </c>
      <c r="J15">
        <f t="shared" si="5"/>
        <v>224266.5847370727</v>
      </c>
    </row>
    <row r="16" spans="1:20" x14ac:dyDescent="0.25">
      <c r="A16" t="str">
        <f t="shared" si="0"/>
        <v>1993</v>
      </c>
      <c r="B16" t="str">
        <f t="shared" si="1"/>
        <v>Mars</v>
      </c>
      <c r="C16" s="7" t="s">
        <v>478</v>
      </c>
      <c r="D16">
        <v>1150.47827148438</v>
      </c>
      <c r="E16" s="7">
        <v>71.717443999338201</v>
      </c>
      <c r="F16">
        <v>15</v>
      </c>
      <c r="G16">
        <f t="shared" si="2"/>
        <v>1406.608241820576</v>
      </c>
      <c r="H16">
        <f>(D16-G16)^2</f>
        <v>65602.561704420659</v>
      </c>
      <c r="I16">
        <f t="shared" si="4"/>
        <v>528818.18425571674</v>
      </c>
      <c r="J16">
        <f t="shared" si="5"/>
        <v>221905.90027983242</v>
      </c>
    </row>
    <row r="17" spans="1:10" x14ac:dyDescent="0.25">
      <c r="A17" t="str">
        <f t="shared" si="0"/>
        <v>1993</v>
      </c>
      <c r="B17" t="str">
        <f t="shared" si="1"/>
        <v>Avril</v>
      </c>
      <c r="C17" s="7" t="s">
        <v>512</v>
      </c>
      <c r="D17">
        <v>1110.27502441406</v>
      </c>
      <c r="E17" s="7">
        <v>69.211291391486498</v>
      </c>
      <c r="F17">
        <v>16</v>
      </c>
      <c r="G17">
        <f t="shared" si="2"/>
        <v>1409.1072810313181</v>
      </c>
      <c r="H17">
        <f>(D17-G17)^2</f>
        <v>89300.717594962771</v>
      </c>
      <c r="I17">
        <f t="shared" si="4"/>
        <v>588905.9963319042</v>
      </c>
      <c r="J17">
        <f t="shared" si="5"/>
        <v>219557.7062165458</v>
      </c>
    </row>
    <row r="18" spans="1:10" x14ac:dyDescent="0.25">
      <c r="A18" t="str">
        <f t="shared" si="0"/>
        <v>1993</v>
      </c>
      <c r="B18" t="str">
        <f t="shared" si="1"/>
        <v>Mai</v>
      </c>
      <c r="C18" s="7" t="s">
        <v>546</v>
      </c>
      <c r="D18">
        <v>1125.42102050781</v>
      </c>
      <c r="E18" s="7">
        <v>70.155448403045099</v>
      </c>
      <c r="F18">
        <v>17</v>
      </c>
      <c r="G18">
        <f t="shared" si="2"/>
        <v>1411.6063202420601</v>
      </c>
      <c r="H18">
        <f>(D18-G18)^2</f>
        <v>81902.02578398255</v>
      </c>
      <c r="I18">
        <f t="shared" si="4"/>
        <v>565889.25885024294</v>
      </c>
      <c r="J18">
        <f t="shared" si="5"/>
        <v>217222.00254721285</v>
      </c>
    </row>
    <row r="19" spans="1:10" x14ac:dyDescent="0.25">
      <c r="A19" t="str">
        <f t="shared" si="0"/>
        <v>1993</v>
      </c>
      <c r="B19" t="str">
        <f t="shared" si="1"/>
        <v>Juin</v>
      </c>
      <c r="C19" s="7" t="s">
        <v>580</v>
      </c>
      <c r="D19">
        <v>1168.09094238281</v>
      </c>
      <c r="E19" s="7">
        <v>72.815366289697593</v>
      </c>
      <c r="F19">
        <v>18</v>
      </c>
      <c r="G19">
        <f t="shared" si="2"/>
        <v>1414.1053594528021</v>
      </c>
      <c r="H19">
        <f>(D19-G19)^2</f>
        <v>60523.093406288011</v>
      </c>
      <c r="I19">
        <f t="shared" si="4"/>
        <v>503512.56197911693</v>
      </c>
      <c r="J19">
        <f t="shared" si="5"/>
        <v>214898.78927183352</v>
      </c>
    </row>
    <row r="20" spans="1:10" x14ac:dyDescent="0.25">
      <c r="A20" t="str">
        <f t="shared" si="0"/>
        <v>1993</v>
      </c>
      <c r="B20" t="str">
        <f t="shared" si="1"/>
        <v>Juillet</v>
      </c>
      <c r="C20" s="7" t="s">
        <v>614</v>
      </c>
      <c r="D20">
        <v>1203.18176269531</v>
      </c>
      <c r="E20" s="7">
        <v>75.002825195293099</v>
      </c>
      <c r="F20">
        <v>19</v>
      </c>
      <c r="G20">
        <f t="shared" si="2"/>
        <v>1416.6043986635441</v>
      </c>
      <c r="H20">
        <f>(D20-G20)^2</f>
        <v>45549.22154362937</v>
      </c>
      <c r="I20">
        <f t="shared" si="4"/>
        <v>454944.00462377293</v>
      </c>
      <c r="J20">
        <f t="shared" si="5"/>
        <v>212588.06639040785</v>
      </c>
    </row>
    <row r="21" spans="1:10" x14ac:dyDescent="0.25">
      <c r="A21" t="str">
        <f t="shared" si="0"/>
        <v>1993</v>
      </c>
      <c r="B21" t="str">
        <f t="shared" si="1"/>
        <v>Août</v>
      </c>
      <c r="C21" s="7" t="s">
        <v>648</v>
      </c>
      <c r="D21">
        <v>1172.76196289063</v>
      </c>
      <c r="E21" s="7">
        <v>73.106544019857694</v>
      </c>
      <c r="F21">
        <v>20</v>
      </c>
      <c r="G21">
        <f t="shared" si="2"/>
        <v>1419.1034378742861</v>
      </c>
      <c r="H21">
        <f>(D21-G21)^2</f>
        <v>60684.122297123264</v>
      </c>
      <c r="I21">
        <f t="shared" si="4"/>
        <v>496905.3971143993</v>
      </c>
      <c r="J21">
        <f t="shared" si="5"/>
        <v>210289.83390293585</v>
      </c>
    </row>
    <row r="22" spans="1:10" x14ac:dyDescent="0.25">
      <c r="A22" t="str">
        <f t="shared" si="0"/>
        <v>1993</v>
      </c>
      <c r="B22" t="str">
        <f t="shared" si="1"/>
        <v>Septembre</v>
      </c>
      <c r="C22" s="7" t="s">
        <v>682</v>
      </c>
      <c r="D22">
        <v>1116.90905761719</v>
      </c>
      <c r="E22" s="7">
        <v>69.624837580517394</v>
      </c>
      <c r="F22">
        <v>21</v>
      </c>
      <c r="G22">
        <f t="shared" si="2"/>
        <v>1421.6024770850281</v>
      </c>
      <c r="H22">
        <f>(D22-G22)^2</f>
        <v>92838.079867003951</v>
      </c>
      <c r="I22">
        <f t="shared" si="4"/>
        <v>578768.06459081918</v>
      </c>
      <c r="J22">
        <f t="shared" si="5"/>
        <v>208004.09180941747</v>
      </c>
    </row>
    <row r="23" spans="1:10" x14ac:dyDescent="0.25">
      <c r="A23" t="str">
        <f t="shared" si="0"/>
        <v>1993</v>
      </c>
      <c r="B23" t="str">
        <f t="shared" si="1"/>
        <v>Octobre</v>
      </c>
      <c r="C23" s="7" t="s">
        <v>716</v>
      </c>
      <c r="D23">
        <v>1089.42858886719</v>
      </c>
      <c r="E23" s="7">
        <v>67.911785689401896</v>
      </c>
      <c r="F23">
        <v>22</v>
      </c>
      <c r="G23">
        <f t="shared" si="2"/>
        <v>1424.1015162957704</v>
      </c>
      <c r="H23">
        <f>(D23-G23)^2</f>
        <v>112005.96835361581</v>
      </c>
      <c r="I23">
        <f t="shared" si="4"/>
        <v>621335.7673991468</v>
      </c>
      <c r="J23">
        <f t="shared" si="5"/>
        <v>205730.84010985255</v>
      </c>
    </row>
    <row r="24" spans="1:10" x14ac:dyDescent="0.25">
      <c r="A24" t="str">
        <f t="shared" si="0"/>
        <v>1993</v>
      </c>
      <c r="B24" t="str">
        <f t="shared" si="1"/>
        <v>Novembre</v>
      </c>
      <c r="C24" s="7" t="s">
        <v>750</v>
      </c>
      <c r="D24">
        <v>1040.02270507813</v>
      </c>
      <c r="E24" s="7">
        <v>64.831967676578302</v>
      </c>
      <c r="F24">
        <v>23</v>
      </c>
      <c r="G24">
        <f t="shared" si="2"/>
        <v>1426.6005555065124</v>
      </c>
      <c r="H24">
        <f>(D24-G24)^2</f>
        <v>149442.43444182875</v>
      </c>
      <c r="I24">
        <f t="shared" si="4"/>
        <v>701664.94069325866</v>
      </c>
      <c r="J24">
        <f t="shared" si="5"/>
        <v>203470.07880424149</v>
      </c>
    </row>
    <row r="25" spans="1:10" x14ac:dyDescent="0.25">
      <c r="A25" t="str">
        <f t="shared" si="0"/>
        <v>1993</v>
      </c>
      <c r="B25" t="str">
        <f t="shared" si="1"/>
        <v>Décembre</v>
      </c>
      <c r="C25" s="7" t="s">
        <v>783</v>
      </c>
      <c r="D25">
        <v>1091.34997558594</v>
      </c>
      <c r="E25" s="7">
        <v>68.031559306877696</v>
      </c>
      <c r="F25">
        <v>24</v>
      </c>
      <c r="G25">
        <f t="shared" si="2"/>
        <v>1429.0995947172544</v>
      </c>
      <c r="H25">
        <f>(D25-G25)^2</f>
        <v>114074.80522334792</v>
      </c>
      <c r="I25">
        <f t="shared" si="4"/>
        <v>618310.39855835354</v>
      </c>
      <c r="J25">
        <f t="shared" si="5"/>
        <v>201221.8078925841</v>
      </c>
    </row>
    <row r="26" spans="1:10" x14ac:dyDescent="0.25">
      <c r="A26" t="str">
        <f t="shared" si="0"/>
        <v>1994</v>
      </c>
      <c r="B26" t="str">
        <f t="shared" si="1"/>
        <v>Janvier</v>
      </c>
      <c r="C26" s="7" t="s">
        <v>411</v>
      </c>
      <c r="D26">
        <v>1170</v>
      </c>
      <c r="E26" s="7">
        <v>72.934371347112304</v>
      </c>
      <c r="F26">
        <v>25</v>
      </c>
      <c r="G26">
        <f t="shared" si="2"/>
        <v>1431.5986339279964</v>
      </c>
      <c r="H26">
        <f>(D26-G26)^2</f>
        <v>68433.845272993858</v>
      </c>
      <c r="I26">
        <f t="shared" si="4"/>
        <v>500806.924635428</v>
      </c>
      <c r="J26">
        <f t="shared" si="5"/>
        <v>198986.02737488036</v>
      </c>
    </row>
    <row r="27" spans="1:10" x14ac:dyDescent="0.25">
      <c r="A27" t="str">
        <f t="shared" si="0"/>
        <v>1994</v>
      </c>
      <c r="B27" t="str">
        <f t="shared" si="1"/>
        <v>février</v>
      </c>
      <c r="C27" s="7" t="s">
        <v>445</v>
      </c>
      <c r="D27">
        <v>1270.52502441406</v>
      </c>
      <c r="E27" s="7">
        <v>79.200806783259793</v>
      </c>
      <c r="F27">
        <v>26</v>
      </c>
      <c r="G27">
        <f t="shared" si="2"/>
        <v>1434.0976731387384</v>
      </c>
      <c r="H27">
        <f>(D27-G27)^2</f>
        <v>26756.011410807034</v>
      </c>
      <c r="I27">
        <f t="shared" si="4"/>
        <v>368633.68301554362</v>
      </c>
      <c r="J27">
        <f t="shared" si="5"/>
        <v>196762.73725113025</v>
      </c>
    </row>
    <row r="28" spans="1:10" x14ac:dyDescent="0.25">
      <c r="A28" t="str">
        <f t="shared" si="0"/>
        <v>1994</v>
      </c>
      <c r="B28" t="str">
        <f t="shared" si="1"/>
        <v>Mars</v>
      </c>
      <c r="C28" s="7" t="s">
        <v>479</v>
      </c>
      <c r="D28">
        <v>1287.69567871094</v>
      </c>
      <c r="E28" s="7">
        <v>80.271175053996203</v>
      </c>
      <c r="F28">
        <v>27</v>
      </c>
      <c r="G28">
        <f t="shared" si="2"/>
        <v>1436.5967123494804</v>
      </c>
      <c r="H28">
        <f>(D28-G28)^2</f>
        <v>22171.517818625744</v>
      </c>
      <c r="I28">
        <f t="shared" si="4"/>
        <v>348078.11645866389</v>
      </c>
      <c r="J28">
        <f t="shared" si="5"/>
        <v>194551.93752133381</v>
      </c>
    </row>
    <row r="29" spans="1:10" x14ac:dyDescent="0.25">
      <c r="A29" t="str">
        <f t="shared" si="0"/>
        <v>1994</v>
      </c>
      <c r="B29" t="str">
        <f t="shared" si="1"/>
        <v>Avril</v>
      </c>
      <c r="C29" s="7" t="s">
        <v>513</v>
      </c>
      <c r="D29">
        <v>1277.28942871094</v>
      </c>
      <c r="E29" s="7">
        <v>79.622479924226198</v>
      </c>
      <c r="F29">
        <v>28</v>
      </c>
      <c r="G29">
        <f t="shared" si="2"/>
        <v>1439.0957515602224</v>
      </c>
      <c r="H29">
        <f>(D29-G29)^2</f>
        <v>26181.286114006216</v>
      </c>
      <c r="I29">
        <f t="shared" si="4"/>
        <v>360465.39551606338</v>
      </c>
      <c r="J29">
        <f t="shared" si="5"/>
        <v>192353.62818549099</v>
      </c>
    </row>
    <row r="30" spans="1:10" x14ac:dyDescent="0.25">
      <c r="A30" t="str">
        <f t="shared" si="0"/>
        <v>1994</v>
      </c>
      <c r="B30" t="str">
        <f t="shared" si="1"/>
        <v>Mai</v>
      </c>
      <c r="C30" s="7" t="s">
        <v>547</v>
      </c>
      <c r="D30">
        <v>1321.04760742188</v>
      </c>
      <c r="E30" s="7">
        <v>82.3502365529245</v>
      </c>
      <c r="F30">
        <v>29</v>
      </c>
      <c r="G30">
        <f t="shared" si="2"/>
        <v>1441.5947907709644</v>
      </c>
      <c r="H30">
        <f>(D30-G30)^2</f>
        <v>14531.62341339778</v>
      </c>
      <c r="I30">
        <f t="shared" si="4"/>
        <v>309836.42879592092</v>
      </c>
      <c r="J30">
        <f t="shared" si="5"/>
        <v>190167.80924360186</v>
      </c>
    </row>
    <row r="31" spans="1:10" x14ac:dyDescent="0.25">
      <c r="A31" t="str">
        <f t="shared" si="0"/>
        <v>1994</v>
      </c>
      <c r="B31" t="str">
        <f t="shared" si="1"/>
        <v>Juin</v>
      </c>
      <c r="C31" s="7" t="s">
        <v>581</v>
      </c>
      <c r="D31">
        <v>1402.36364746094</v>
      </c>
      <c r="E31" s="7">
        <v>87.419240194536002</v>
      </c>
      <c r="F31">
        <v>30</v>
      </c>
      <c r="G31">
        <f t="shared" si="2"/>
        <v>1444.0938299817067</v>
      </c>
      <c r="H31">
        <f>(D31-G31)^2</f>
        <v>1741.4081332165006</v>
      </c>
      <c r="I31">
        <f t="shared" si="4"/>
        <v>225922.9095784965</v>
      </c>
      <c r="J31">
        <f t="shared" si="5"/>
        <v>187994.48069566616</v>
      </c>
    </row>
    <row r="32" spans="1:10" x14ac:dyDescent="0.25">
      <c r="A32" t="str">
        <f t="shared" si="0"/>
        <v>1994</v>
      </c>
      <c r="B32" t="str">
        <f t="shared" si="1"/>
        <v>Juillet</v>
      </c>
      <c r="C32" s="7" t="s">
        <v>615</v>
      </c>
      <c r="D32">
        <v>1491.95239257813</v>
      </c>
      <c r="E32" s="7">
        <v>93.003940027782903</v>
      </c>
      <c r="F32">
        <v>31</v>
      </c>
      <c r="G32">
        <f t="shared" si="2"/>
        <v>1446.5928691924487</v>
      </c>
      <c r="H32">
        <f>(D32-G32)^2</f>
        <v>2057.4863617761698</v>
      </c>
      <c r="I32">
        <f t="shared" si="4"/>
        <v>148783.57540858162</v>
      </c>
      <c r="J32">
        <f t="shared" si="5"/>
        <v>185833.64254168433</v>
      </c>
    </row>
    <row r="33" spans="1:10" x14ac:dyDescent="0.25">
      <c r="A33" t="str">
        <f t="shared" si="0"/>
        <v>1994</v>
      </c>
      <c r="B33" t="str">
        <f t="shared" si="1"/>
        <v>Août</v>
      </c>
      <c r="C33" s="7" t="s">
        <v>649</v>
      </c>
      <c r="D33">
        <v>1457.06823730469</v>
      </c>
      <c r="E33" s="7">
        <v>90.829364015096203</v>
      </c>
      <c r="F33">
        <v>32</v>
      </c>
      <c r="G33">
        <f t="shared" si="2"/>
        <v>1449.0919084031907</v>
      </c>
      <c r="H33">
        <f>(D33-G33)^2</f>
        <v>63.621822744893038</v>
      </c>
      <c r="I33">
        <f t="shared" si="4"/>
        <v>176911.84317626178</v>
      </c>
      <c r="J33">
        <f t="shared" si="5"/>
        <v>183685.29478165615</v>
      </c>
    </row>
    <row r="34" spans="1:10" x14ac:dyDescent="0.25">
      <c r="A34" t="str">
        <f t="shared" si="0"/>
        <v>1994</v>
      </c>
      <c r="B34" t="str">
        <f t="shared" si="1"/>
        <v>Septembre</v>
      </c>
      <c r="C34" s="7" t="s">
        <v>683</v>
      </c>
      <c r="D34">
        <v>1571.09094238281</v>
      </c>
      <c r="E34" s="7">
        <v>97.937205309258502</v>
      </c>
      <c r="F34">
        <v>33</v>
      </c>
      <c r="G34">
        <f t="shared" si="2"/>
        <v>1451.5909476139327</v>
      </c>
      <c r="H34">
        <f>(D34-G34)^2</f>
        <v>14280.248749761698</v>
      </c>
      <c r="I34">
        <f t="shared" si="4"/>
        <v>93995.09230502884</v>
      </c>
      <c r="J34">
        <f t="shared" si="5"/>
        <v>181549.4374155816</v>
      </c>
    </row>
    <row r="35" spans="1:10" x14ac:dyDescent="0.25">
      <c r="A35" t="str">
        <f t="shared" si="0"/>
        <v>1994</v>
      </c>
      <c r="B35" t="str">
        <f t="shared" si="1"/>
        <v>Octobre</v>
      </c>
      <c r="C35" s="7" t="s">
        <v>717</v>
      </c>
      <c r="D35">
        <v>1694.26196289063</v>
      </c>
      <c r="E35" s="7">
        <v>105.615325778421</v>
      </c>
      <c r="F35">
        <v>34</v>
      </c>
      <c r="G35">
        <f t="shared" si="2"/>
        <v>1454.0899868246747</v>
      </c>
      <c r="H35">
        <f>(D35-G35)^2</f>
        <v>57682.578087425798</v>
      </c>
      <c r="I35">
        <f t="shared" si="4"/>
        <v>33641.124642921692</v>
      </c>
      <c r="J35">
        <f t="shared" si="5"/>
        <v>179426.07044346072</v>
      </c>
    </row>
    <row r="36" spans="1:10" x14ac:dyDescent="0.25">
      <c r="A36" t="str">
        <f t="shared" si="0"/>
        <v>1994</v>
      </c>
      <c r="B36" t="str">
        <f t="shared" si="1"/>
        <v>Novembre</v>
      </c>
      <c r="C36" s="7" t="s">
        <v>751</v>
      </c>
      <c r="D36">
        <v>1885.88635253906</v>
      </c>
      <c r="E36" s="7">
        <v>117.56062867909</v>
      </c>
      <c r="F36">
        <v>35</v>
      </c>
      <c r="G36">
        <f t="shared" si="2"/>
        <v>1456.5890260354167</v>
      </c>
      <c r="H36">
        <f>(D36-G36)^2</f>
        <v>184296.19454317569</v>
      </c>
      <c r="I36">
        <f t="shared" si="4"/>
        <v>67.391284694261174</v>
      </c>
      <c r="J36">
        <f t="shared" si="5"/>
        <v>177315.19386529349</v>
      </c>
    </row>
    <row r="37" spans="1:10" x14ac:dyDescent="0.25">
      <c r="A37" t="str">
        <f t="shared" si="0"/>
        <v>1994</v>
      </c>
      <c r="B37" t="str">
        <f t="shared" si="1"/>
        <v>Décembre</v>
      </c>
      <c r="C37" s="7" t="s">
        <v>784</v>
      </c>
      <c r="D37">
        <v>1878.375</v>
      </c>
      <c r="E37" s="7">
        <v>117.092392973617</v>
      </c>
      <c r="F37">
        <v>36</v>
      </c>
      <c r="G37">
        <f t="shared" si="2"/>
        <v>1459.0880652461587</v>
      </c>
      <c r="H37">
        <f>(D37-G37)^2</f>
        <v>175801.53365527192</v>
      </c>
      <c r="I37">
        <f t="shared" si="4"/>
        <v>0.48701828625244709</v>
      </c>
      <c r="J37">
        <f t="shared" si="5"/>
        <v>175216.80768107992</v>
      </c>
    </row>
    <row r="38" spans="1:10" x14ac:dyDescent="0.25">
      <c r="A38" t="str">
        <f t="shared" si="0"/>
        <v>1995</v>
      </c>
      <c r="B38" t="str">
        <f t="shared" si="1"/>
        <v>Janvier</v>
      </c>
      <c r="C38" s="7" t="s">
        <v>412</v>
      </c>
      <c r="D38">
        <v>2059.35717773438</v>
      </c>
      <c r="E38" s="7">
        <v>128.37429157027401</v>
      </c>
      <c r="F38">
        <v>37</v>
      </c>
      <c r="G38">
        <f t="shared" si="2"/>
        <v>1461.5871044569008</v>
      </c>
      <c r="H38">
        <f>(D38-G38)^2</f>
        <v>357329.06050616287</v>
      </c>
      <c r="I38">
        <f t="shared" si="4"/>
        <v>33007.638638171484</v>
      </c>
      <c r="J38">
        <f t="shared" si="5"/>
        <v>173130.91189081999</v>
      </c>
    </row>
    <row r="39" spans="1:10" x14ac:dyDescent="0.25">
      <c r="A39" t="str">
        <f t="shared" si="0"/>
        <v>1995</v>
      </c>
      <c r="B39" t="str">
        <f t="shared" si="1"/>
        <v>février</v>
      </c>
      <c r="C39" s="7" t="s">
        <v>446</v>
      </c>
      <c r="D39">
        <v>1905.44995117188</v>
      </c>
      <c r="E39" s="7">
        <v>118.780166087271</v>
      </c>
      <c r="F39">
        <v>38</v>
      </c>
      <c r="G39">
        <f t="shared" si="2"/>
        <v>1464.0861436676428</v>
      </c>
      <c r="H39">
        <f>(D39-G39)^2</f>
        <v>194802.01057463739</v>
      </c>
      <c r="I39">
        <f t="shared" si="4"/>
        <v>771.32942668374119</v>
      </c>
      <c r="J39">
        <f t="shared" si="5"/>
        <v>171057.50649451371</v>
      </c>
    </row>
    <row r="40" spans="1:10" x14ac:dyDescent="0.25">
      <c r="A40" t="str">
        <f t="shared" si="0"/>
        <v>1995</v>
      </c>
      <c r="B40" t="str">
        <f t="shared" si="1"/>
        <v>Mars</v>
      </c>
      <c r="C40" s="7" t="s">
        <v>480</v>
      </c>
      <c r="D40">
        <v>1799.97827148438</v>
      </c>
      <c r="E40" s="7">
        <v>112.205370657415</v>
      </c>
      <c r="F40">
        <v>39</v>
      </c>
      <c r="G40">
        <f t="shared" si="2"/>
        <v>1466.585182878385</v>
      </c>
      <c r="H40">
        <f>(D40-G40)^2</f>
        <v>111150.95153024483</v>
      </c>
      <c r="I40">
        <f t="shared" si="4"/>
        <v>6037.1130878863705</v>
      </c>
      <c r="J40">
        <f t="shared" si="5"/>
        <v>168996.59149216089</v>
      </c>
    </row>
    <row r="41" spans="1:10" x14ac:dyDescent="0.25">
      <c r="A41" t="str">
        <f t="shared" si="0"/>
        <v>1995</v>
      </c>
      <c r="B41" t="str">
        <f t="shared" si="1"/>
        <v>Avril</v>
      </c>
      <c r="C41" s="7" t="s">
        <v>514</v>
      </c>
      <c r="D41">
        <v>1849.44445800781</v>
      </c>
      <c r="E41" s="7">
        <v>115.288947765983</v>
      </c>
      <c r="F41">
        <v>40</v>
      </c>
      <c r="G41">
        <f t="shared" si="2"/>
        <v>1469.084222089127</v>
      </c>
      <c r="H41">
        <f>(D41-G41)^2</f>
        <v>144673.90906811616</v>
      </c>
      <c r="I41">
        <f t="shared" si="4"/>
        <v>797.08393978099878</v>
      </c>
      <c r="J41">
        <f t="shared" si="5"/>
        <v>166948.16688376194</v>
      </c>
    </row>
    <row r="42" spans="1:10" x14ac:dyDescent="0.25">
      <c r="A42" t="str">
        <f t="shared" si="0"/>
        <v>1995</v>
      </c>
      <c r="B42" t="str">
        <f t="shared" si="1"/>
        <v>Mai</v>
      </c>
      <c r="C42" s="7" t="s">
        <v>548</v>
      </c>
      <c r="D42">
        <v>1765.47619628906</v>
      </c>
      <c r="E42" s="7">
        <v>110.05461239712299</v>
      </c>
      <c r="F42">
        <v>41</v>
      </c>
      <c r="G42">
        <f t="shared" si="2"/>
        <v>1471.583261299869</v>
      </c>
      <c r="H42">
        <f>(D42-G42)^2</f>
        <v>86373.057236560824</v>
      </c>
      <c r="I42">
        <f t="shared" si="4"/>
        <v>12589.050209011501</v>
      </c>
      <c r="J42">
        <f t="shared" si="5"/>
        <v>164912.23266931661</v>
      </c>
    </row>
    <row r="43" spans="1:10" x14ac:dyDescent="0.25">
      <c r="A43" t="str">
        <f t="shared" si="0"/>
        <v>1995</v>
      </c>
      <c r="B43" t="str">
        <f t="shared" si="1"/>
        <v>Juin</v>
      </c>
      <c r="C43" s="7" t="s">
        <v>582</v>
      </c>
      <c r="D43">
        <v>1775.79541015625</v>
      </c>
      <c r="E43" s="7">
        <v>110.69788194943</v>
      </c>
      <c r="F43">
        <v>42</v>
      </c>
      <c r="G43">
        <f t="shared" si="2"/>
        <v>1474.082300510611</v>
      </c>
      <c r="H43">
        <f>(D43-G43)^2</f>
        <v>91030.80053204135</v>
      </c>
      <c r="I43">
        <f t="shared" si="4"/>
        <v>10379.885458871804</v>
      </c>
      <c r="J43">
        <f t="shared" si="5"/>
        <v>162888.78884882494</v>
      </c>
    </row>
    <row r="44" spans="1:10" x14ac:dyDescent="0.25">
      <c r="A44" t="str">
        <f t="shared" si="0"/>
        <v>1995</v>
      </c>
      <c r="B44" t="str">
        <f t="shared" si="1"/>
        <v>Juillet</v>
      </c>
      <c r="C44" s="7" t="s">
        <v>616</v>
      </c>
      <c r="D44">
        <v>1867.27502441406</v>
      </c>
      <c r="E44" s="7">
        <v>116.40045302376301</v>
      </c>
      <c r="F44">
        <v>43</v>
      </c>
      <c r="G44">
        <f t="shared" si="2"/>
        <v>1476.5813397213531</v>
      </c>
      <c r="H44">
        <f>(D44-G44)^2</f>
        <v>152641.5552587643</v>
      </c>
      <c r="I44">
        <f t="shared" si="4"/>
        <v>108.20386397924499</v>
      </c>
      <c r="J44">
        <f t="shared" si="5"/>
        <v>160877.83542228694</v>
      </c>
    </row>
    <row r="45" spans="1:10" x14ac:dyDescent="0.25">
      <c r="A45" t="str">
        <f t="shared" si="0"/>
        <v>1995</v>
      </c>
      <c r="B45" t="str">
        <f t="shared" si="1"/>
        <v>Août</v>
      </c>
      <c r="C45" s="7" t="s">
        <v>650</v>
      </c>
      <c r="D45">
        <v>1890.04541015625</v>
      </c>
      <c r="E45" s="7">
        <v>117.819892142941</v>
      </c>
      <c r="F45">
        <v>44</v>
      </c>
      <c r="G45">
        <f t="shared" si="2"/>
        <v>1479.0803789320951</v>
      </c>
      <c r="H45">
        <f>(D45-G45)^2</f>
        <v>168892.25688907065</v>
      </c>
      <c r="I45">
        <f t="shared" si="4"/>
        <v>152.9742786895313</v>
      </c>
      <c r="J45">
        <f t="shared" si="5"/>
        <v>158879.37238970259</v>
      </c>
    </row>
    <row r="46" spans="1:10" x14ac:dyDescent="0.25">
      <c r="A46" t="str">
        <f t="shared" si="0"/>
        <v>1995</v>
      </c>
      <c r="B46" t="str">
        <f t="shared" si="1"/>
        <v>Septembre</v>
      </c>
      <c r="C46" s="7" t="s">
        <v>684</v>
      </c>
      <c r="D46">
        <v>1761.72497558594</v>
      </c>
      <c r="E46" s="7">
        <v>109.82077229134001</v>
      </c>
      <c r="F46">
        <v>45</v>
      </c>
      <c r="G46">
        <f t="shared" si="2"/>
        <v>1481.5794181428371</v>
      </c>
      <c r="H46">
        <f>(D46-G46)^2</f>
        <v>78481.533355106876</v>
      </c>
      <c r="I46">
        <f t="shared" si="4"/>
        <v>13444.902819515075</v>
      </c>
      <c r="J46">
        <f t="shared" si="5"/>
        <v>156893.39975107188</v>
      </c>
    </row>
    <row r="47" spans="1:10" x14ac:dyDescent="0.25">
      <c r="A47" t="str">
        <f t="shared" si="0"/>
        <v>1995</v>
      </c>
      <c r="B47" t="str">
        <f t="shared" si="1"/>
        <v>Octobre</v>
      </c>
      <c r="C47" s="7" t="s">
        <v>718</v>
      </c>
      <c r="D47">
        <v>1671.95458984375</v>
      </c>
      <c r="E47" s="7">
        <v>104.224749513823</v>
      </c>
      <c r="F47">
        <v>46</v>
      </c>
      <c r="G47">
        <f t="shared" si="2"/>
        <v>1484.0784573535791</v>
      </c>
      <c r="H47">
        <f>(D47-G47)^2</f>
        <v>35297.441159464252</v>
      </c>
      <c r="I47">
        <f t="shared" si="4"/>
        <v>42321.764781375452</v>
      </c>
      <c r="J47">
        <f t="shared" si="5"/>
        <v>154919.91750639482</v>
      </c>
    </row>
    <row r="48" spans="1:10" x14ac:dyDescent="0.25">
      <c r="A48" t="str">
        <f t="shared" si="0"/>
        <v>1995</v>
      </c>
      <c r="B48" t="str">
        <f t="shared" si="1"/>
        <v>Novembre</v>
      </c>
      <c r="C48" s="7" t="s">
        <v>752</v>
      </c>
      <c r="D48">
        <v>1655.92858886719</v>
      </c>
      <c r="E48" s="7">
        <v>103.2257355767</v>
      </c>
      <c r="F48">
        <v>47</v>
      </c>
      <c r="G48">
        <f t="shared" si="2"/>
        <v>1486.5774965643213</v>
      </c>
      <c r="H48">
        <f>(D48-G48)^2</f>
        <v>28679.792464174741</v>
      </c>
      <c r="I48">
        <f t="shared" si="4"/>
        <v>49172.416845177868</v>
      </c>
      <c r="J48">
        <f t="shared" si="5"/>
        <v>152958.92565567125</v>
      </c>
    </row>
    <row r="49" spans="1:10" x14ac:dyDescent="0.25">
      <c r="A49" t="str">
        <f t="shared" si="0"/>
        <v>1995</v>
      </c>
      <c r="B49" t="str">
        <f t="shared" si="1"/>
        <v>Décembre</v>
      </c>
      <c r="C49" s="7" t="s">
        <v>785</v>
      </c>
      <c r="D49">
        <v>1657.81579589844</v>
      </c>
      <c r="E49" s="7">
        <v>103.34337853261999</v>
      </c>
      <c r="F49">
        <v>48</v>
      </c>
      <c r="G49">
        <f t="shared" si="2"/>
        <v>1489.0765357750633</v>
      </c>
      <c r="H49">
        <f>(D49-G49)^2</f>
        <v>28472.937906984571</v>
      </c>
      <c r="I49">
        <f t="shared" si="4"/>
        <v>48339.007572071336</v>
      </c>
      <c r="J49">
        <f t="shared" si="5"/>
        <v>151010.42419890148</v>
      </c>
    </row>
    <row r="50" spans="1:10" x14ac:dyDescent="0.25">
      <c r="A50" t="str">
        <f t="shared" si="0"/>
        <v>1996</v>
      </c>
      <c r="B50" t="str">
        <f t="shared" si="1"/>
        <v>Janvier</v>
      </c>
      <c r="C50" s="7" t="s">
        <v>413</v>
      </c>
      <c r="D50">
        <v>1584.47619628906</v>
      </c>
      <c r="E50" s="7">
        <v>98.771602812655004</v>
      </c>
      <c r="F50">
        <v>49</v>
      </c>
      <c r="G50">
        <f t="shared" si="2"/>
        <v>1491.5755749858054</v>
      </c>
      <c r="H50">
        <f>(D50-G50)^2</f>
        <v>8630.5254385307289</v>
      </c>
      <c r="I50">
        <f t="shared" si="4"/>
        <v>85966.789314824797</v>
      </c>
      <c r="J50">
        <f t="shared" si="5"/>
        <v>149074.41313608538</v>
      </c>
    </row>
    <row r="51" spans="1:10" x14ac:dyDescent="0.25">
      <c r="A51" t="str">
        <f t="shared" si="0"/>
        <v>1996</v>
      </c>
      <c r="B51" t="str">
        <f t="shared" si="1"/>
        <v>février</v>
      </c>
      <c r="C51" s="7" t="s">
        <v>447</v>
      </c>
      <c r="D51">
        <v>1594.57141113281</v>
      </c>
      <c r="E51" s="7">
        <v>99.400908922264307</v>
      </c>
      <c r="F51">
        <v>50</v>
      </c>
      <c r="G51">
        <f t="shared" si="2"/>
        <v>1494.0746141965474</v>
      </c>
      <c r="H51">
        <f>(D51-G51)^2</f>
        <v>10099.606194448404</v>
      </c>
      <c r="I51">
        <f t="shared" si="4"/>
        <v>80148.849779677228</v>
      </c>
      <c r="J51">
        <f t="shared" si="5"/>
        <v>147150.89246722293</v>
      </c>
    </row>
    <row r="52" spans="1:10" x14ac:dyDescent="0.25">
      <c r="A52" t="str">
        <f t="shared" si="0"/>
        <v>1996</v>
      </c>
      <c r="B52" t="str">
        <f t="shared" si="1"/>
        <v>Mars</v>
      </c>
      <c r="C52" s="7" t="s">
        <v>481</v>
      </c>
      <c r="D52">
        <v>1614.85717773438</v>
      </c>
      <c r="E52" s="7">
        <v>100.665464165324</v>
      </c>
      <c r="F52">
        <v>51</v>
      </c>
      <c r="G52">
        <f t="shared" si="2"/>
        <v>1496.5736534072894</v>
      </c>
      <c r="H52">
        <f>(D52-G52)^2</f>
        <v>13990.992127237438</v>
      </c>
      <c r="I52">
        <f t="shared" si="4"/>
        <v>69074.328909713004</v>
      </c>
      <c r="J52">
        <f t="shared" si="5"/>
        <v>145239.86219231415</v>
      </c>
    </row>
    <row r="53" spans="1:10" x14ac:dyDescent="0.25">
      <c r="A53" t="str">
        <f t="shared" si="0"/>
        <v>1996</v>
      </c>
      <c r="B53" t="str">
        <f t="shared" si="1"/>
        <v>Avril</v>
      </c>
      <c r="C53" s="7" t="s">
        <v>515</v>
      </c>
      <c r="D53">
        <v>1587.40002441406</v>
      </c>
      <c r="E53" s="7">
        <v>98.953865689769401</v>
      </c>
      <c r="F53">
        <v>52</v>
      </c>
      <c r="G53">
        <f t="shared" si="2"/>
        <v>1499.0726926180314</v>
      </c>
      <c r="H53">
        <f>(D53-G53)^2</f>
        <v>7801.7175422057253</v>
      </c>
      <c r="I53">
        <f t="shared" si="4"/>
        <v>84260.799795399973</v>
      </c>
      <c r="J53">
        <f t="shared" si="5"/>
        <v>143341.32231135899</v>
      </c>
    </row>
    <row r="54" spans="1:10" x14ac:dyDescent="0.25">
      <c r="A54" t="str">
        <f t="shared" si="0"/>
        <v>1996</v>
      </c>
      <c r="B54" t="str">
        <f t="shared" si="1"/>
        <v>Mai</v>
      </c>
      <c r="C54" s="7" t="s">
        <v>549</v>
      </c>
      <c r="D54">
        <v>1593.85717773438</v>
      </c>
      <c r="E54" s="7">
        <v>99.356385705247604</v>
      </c>
      <c r="F54">
        <v>53</v>
      </c>
      <c r="G54">
        <f t="shared" si="2"/>
        <v>1501.5717318287734</v>
      </c>
      <c r="H54">
        <f>(D54-G54)^2</f>
        <v>8516.6035259966411</v>
      </c>
      <c r="I54">
        <f t="shared" si="4"/>
        <v>80553.767032777949</v>
      </c>
      <c r="J54">
        <f t="shared" si="5"/>
        <v>141455.27282435753</v>
      </c>
    </row>
    <row r="55" spans="1:10" x14ac:dyDescent="0.25">
      <c r="A55" t="str">
        <f t="shared" si="0"/>
        <v>1996</v>
      </c>
      <c r="B55" t="str">
        <f t="shared" si="1"/>
        <v>Juin</v>
      </c>
      <c r="C55" s="7" t="s">
        <v>583</v>
      </c>
      <c r="D55">
        <v>1485.75</v>
      </c>
      <c r="E55" s="7">
        <v>92.617301050403498</v>
      </c>
      <c r="F55">
        <v>54</v>
      </c>
      <c r="G55">
        <f t="shared" si="2"/>
        <v>1504.0707710395154</v>
      </c>
      <c r="H55">
        <f>(D55-G55)^2</f>
        <v>335.65065148234697</v>
      </c>
      <c r="I55">
        <f t="shared" si="4"/>
        <v>153606.87761722613</v>
      </c>
      <c r="J55">
        <f t="shared" si="5"/>
        <v>139581.71373130966</v>
      </c>
    </row>
    <row r="56" spans="1:10" x14ac:dyDescent="0.25">
      <c r="A56" t="str">
        <f t="shared" si="0"/>
        <v>1996</v>
      </c>
      <c r="B56" t="str">
        <f t="shared" si="1"/>
        <v>Juillet</v>
      </c>
      <c r="C56" s="7" t="s">
        <v>617</v>
      </c>
      <c r="D56">
        <v>1460.02172851563</v>
      </c>
      <c r="E56" s="7">
        <v>91.013476002061296</v>
      </c>
      <c r="F56">
        <v>55</v>
      </c>
      <c r="G56">
        <f t="shared" si="2"/>
        <v>1506.5698102502574</v>
      </c>
      <c r="H56">
        <f>(D56-G56)^2</f>
        <v>2166.723913173556</v>
      </c>
      <c r="I56">
        <f t="shared" si="4"/>
        <v>174436.03693296787</v>
      </c>
      <c r="J56">
        <f t="shared" si="5"/>
        <v>137720.64503221549</v>
      </c>
    </row>
    <row r="57" spans="1:10" x14ac:dyDescent="0.25">
      <c r="A57" t="str">
        <f t="shared" si="0"/>
        <v>1996</v>
      </c>
      <c r="B57" t="str">
        <f t="shared" si="1"/>
        <v>Août</v>
      </c>
      <c r="C57" s="7" t="s">
        <v>651</v>
      </c>
      <c r="D57">
        <v>1466.78576660156</v>
      </c>
      <c r="E57" s="7">
        <v>91.4351263145102</v>
      </c>
      <c r="F57">
        <v>56</v>
      </c>
      <c r="G57">
        <f t="shared" si="2"/>
        <v>1509.0688494609994</v>
      </c>
      <c r="H57">
        <f>(D57-G57)^2</f>
        <v>1787.8590960982219</v>
      </c>
      <c r="I57">
        <f t="shared" si="4"/>
        <v>168831.71501812735</v>
      </c>
      <c r="J57">
        <f t="shared" si="5"/>
        <v>135872.06672707497</v>
      </c>
    </row>
    <row r="58" spans="1:10" x14ac:dyDescent="0.25">
      <c r="A58" t="str">
        <f t="shared" si="0"/>
        <v>1996</v>
      </c>
      <c r="B58" t="str">
        <f t="shared" si="1"/>
        <v>Septembre</v>
      </c>
      <c r="C58" s="7" t="s">
        <v>685</v>
      </c>
      <c r="D58">
        <v>1405.76196289063</v>
      </c>
      <c r="E58" s="7">
        <v>87.631081219752701</v>
      </c>
      <c r="F58">
        <v>57</v>
      </c>
      <c r="G58">
        <f t="shared" si="2"/>
        <v>1511.5678886717417</v>
      </c>
      <c r="H58">
        <f>(D58-G58)^2</f>
        <v>11194.893930398113</v>
      </c>
      <c r="I58">
        <f t="shared" si="4"/>
        <v>222703.927822253</v>
      </c>
      <c r="J58">
        <f t="shared" si="5"/>
        <v>134035.97881588791</v>
      </c>
    </row>
    <row r="59" spans="1:10" x14ac:dyDescent="0.25">
      <c r="A59" t="str">
        <f t="shared" si="0"/>
        <v>1996</v>
      </c>
      <c r="B59" t="str">
        <f t="shared" si="1"/>
        <v>Octobre</v>
      </c>
      <c r="C59" s="7" t="s">
        <v>719</v>
      </c>
      <c r="D59">
        <v>1336.02172851563</v>
      </c>
      <c r="E59" s="7">
        <v>83.283679380658</v>
      </c>
      <c r="F59">
        <v>58</v>
      </c>
      <c r="G59">
        <f t="shared" si="2"/>
        <v>1514.0669278824837</v>
      </c>
      <c r="H59">
        <f>(D59-G59)^2</f>
        <v>31700.09301758268</v>
      </c>
      <c r="I59">
        <f t="shared" si="4"/>
        <v>293390.57725636329</v>
      </c>
      <c r="J59">
        <f t="shared" si="5"/>
        <v>132212.38129865468</v>
      </c>
    </row>
    <row r="60" spans="1:10" x14ac:dyDescent="0.25">
      <c r="A60" t="str">
        <f t="shared" si="0"/>
        <v>1996</v>
      </c>
      <c r="B60" t="str">
        <f t="shared" si="1"/>
        <v>Novembre</v>
      </c>
      <c r="C60" s="7" t="s">
        <v>753</v>
      </c>
      <c r="D60">
        <v>1451.04760742188</v>
      </c>
      <c r="E60" s="7">
        <v>90.454055591492505</v>
      </c>
      <c r="F60">
        <v>59</v>
      </c>
      <c r="G60">
        <f t="shared" si="2"/>
        <v>1516.5659670932257</v>
      </c>
      <c r="H60">
        <f>(D60-G60)^2</f>
        <v>4292.6554540238194</v>
      </c>
      <c r="I60">
        <f t="shared" si="4"/>
        <v>182012.75213379264</v>
      </c>
      <c r="J60">
        <f t="shared" si="5"/>
        <v>130401.2741753751</v>
      </c>
    </row>
    <row r="61" spans="1:10" x14ac:dyDescent="0.25">
      <c r="A61" t="str">
        <f t="shared" si="0"/>
        <v>1996</v>
      </c>
      <c r="B61" t="str">
        <f t="shared" si="1"/>
        <v>Décembre</v>
      </c>
      <c r="C61" s="7" t="s">
        <v>786</v>
      </c>
      <c r="D61">
        <v>1500.97619628906</v>
      </c>
      <c r="E61" s="7">
        <v>93.566457507113199</v>
      </c>
      <c r="F61">
        <v>60</v>
      </c>
      <c r="G61">
        <f t="shared" si="2"/>
        <v>1519.0650063039677</v>
      </c>
      <c r="H61">
        <f>(D61-G61)^2</f>
        <v>327.20504775542588</v>
      </c>
      <c r="I61">
        <f t="shared" si="4"/>
        <v>141903.59575314197</v>
      </c>
      <c r="J61">
        <f t="shared" si="5"/>
        <v>128602.65744604918</v>
      </c>
    </row>
    <row r="62" spans="1:10" x14ac:dyDescent="0.25">
      <c r="A62" t="str">
        <f t="shared" si="0"/>
        <v>1997</v>
      </c>
      <c r="B62" t="str">
        <f t="shared" si="1"/>
        <v>Janvier</v>
      </c>
      <c r="C62" s="7" t="s">
        <v>414</v>
      </c>
      <c r="D62">
        <v>1575.13635253906</v>
      </c>
      <c r="E62" s="7">
        <v>98.189384323435704</v>
      </c>
      <c r="F62">
        <v>61</v>
      </c>
      <c r="G62">
        <f t="shared" si="2"/>
        <v>1521.5640455147097</v>
      </c>
      <c r="H62">
        <f>(D62-G62)^2</f>
        <v>2869.9920799112488</v>
      </c>
      <c r="I62">
        <f t="shared" si="4"/>
        <v>91530.923869415841</v>
      </c>
      <c r="J62">
        <f t="shared" si="5"/>
        <v>126816.53111067691</v>
      </c>
    </row>
    <row r="63" spans="1:10" x14ac:dyDescent="0.25">
      <c r="A63" t="str">
        <f t="shared" si="0"/>
        <v>1997</v>
      </c>
      <c r="B63" t="str">
        <f t="shared" si="1"/>
        <v>février</v>
      </c>
      <c r="C63" s="7" t="s">
        <v>448</v>
      </c>
      <c r="D63">
        <v>1582.05297851563</v>
      </c>
      <c r="E63" s="7">
        <v>98.620546517832494</v>
      </c>
      <c r="F63">
        <v>62</v>
      </c>
      <c r="G63">
        <f t="shared" si="2"/>
        <v>1524.0630847254517</v>
      </c>
      <c r="H63">
        <f>(D63-G63)^2</f>
        <v>3362.8277817961548</v>
      </c>
      <c r="I63">
        <f t="shared" si="4"/>
        <v>87393.640741471085</v>
      </c>
      <c r="J63">
        <f t="shared" si="5"/>
        <v>125042.89516925829</v>
      </c>
    </row>
    <row r="64" spans="1:10" x14ac:dyDescent="0.25">
      <c r="A64" t="str">
        <f t="shared" si="0"/>
        <v>1997</v>
      </c>
      <c r="B64" t="str">
        <f t="shared" si="1"/>
        <v>Mars</v>
      </c>
      <c r="C64" s="7" t="s">
        <v>482</v>
      </c>
      <c r="D64">
        <v>1631.18420410156</v>
      </c>
      <c r="E64" s="7">
        <v>101.683243143151</v>
      </c>
      <c r="F64">
        <v>63</v>
      </c>
      <c r="G64">
        <f t="shared" si="2"/>
        <v>1526.5621239361938</v>
      </c>
      <c r="H64">
        <f>(D64-G64)^2</f>
        <v>10945.77965812832</v>
      </c>
      <c r="I64">
        <f t="shared" si="4"/>
        <v>60758.764019337759</v>
      </c>
      <c r="J64">
        <f t="shared" si="5"/>
        <v>123281.74962179332</v>
      </c>
    </row>
    <row r="65" spans="1:10" x14ac:dyDescent="0.25">
      <c r="A65" t="str">
        <f t="shared" si="0"/>
        <v>1997</v>
      </c>
      <c r="B65" t="str">
        <f t="shared" si="1"/>
        <v>Avril</v>
      </c>
      <c r="C65" s="7" t="s">
        <v>516</v>
      </c>
      <c r="D65">
        <v>1561.11364746094</v>
      </c>
      <c r="E65" s="7">
        <v>97.315249982018102</v>
      </c>
      <c r="F65">
        <v>64</v>
      </c>
      <c r="G65">
        <f t="shared" si="2"/>
        <v>1529.061163146936</v>
      </c>
      <c r="H65">
        <f>(D65-G65)^2</f>
        <v>1027.3617506994729</v>
      </c>
      <c r="I65">
        <f t="shared" si="4"/>
        <v>100212.44040541447</v>
      </c>
      <c r="J65">
        <f t="shared" si="5"/>
        <v>121533.09446828184</v>
      </c>
    </row>
    <row r="66" spans="1:10" x14ac:dyDescent="0.25">
      <c r="A66" t="str">
        <f t="shared" si="0"/>
        <v>1997</v>
      </c>
      <c r="B66" t="str">
        <f t="shared" si="1"/>
        <v>Mai</v>
      </c>
      <c r="C66" s="7" t="s">
        <v>550</v>
      </c>
      <c r="D66">
        <v>1625.44995117188</v>
      </c>
      <c r="E66" s="7">
        <v>101.325786619586</v>
      </c>
      <c r="F66">
        <v>65</v>
      </c>
      <c r="G66">
        <f t="shared" si="2"/>
        <v>1531.560202357678</v>
      </c>
      <c r="H66">
        <f>(D66-G66)^2</f>
        <v>8815.2849323939445</v>
      </c>
      <c r="I66">
        <f t="shared" si="4"/>
        <v>63618.551275883117</v>
      </c>
      <c r="J66">
        <f t="shared" si="5"/>
        <v>119796.92970872419</v>
      </c>
    </row>
    <row r="67" spans="1:10" x14ac:dyDescent="0.25">
      <c r="A67" t="str">
        <f t="shared" ref="A67:A130" si="6">LEFT(C67,4)</f>
        <v>1997</v>
      </c>
      <c r="B67" t="str">
        <f t="shared" ref="B67:B130" si="7">MID(C67,6,10)</f>
        <v>Juin</v>
      </c>
      <c r="C67" s="7" t="s">
        <v>584</v>
      </c>
      <c r="D67">
        <v>1567.1904296875</v>
      </c>
      <c r="E67" s="7">
        <v>97.694058778178302</v>
      </c>
      <c r="F67">
        <v>66</v>
      </c>
      <c r="G67">
        <f t="shared" ref="G67:G130" si="8">SLOPE($D$2:$D$407,$F$2:$F$407)*F67+INTERCEPT($D$2:$D$407,$F$2:$F$407)</f>
        <v>1534.05924156842</v>
      </c>
      <c r="H67">
        <f>(D67-G67)^2</f>
        <v>1097.6756261818664</v>
      </c>
      <c r="I67">
        <f t="shared" ref="I67:I130" si="9">(D67-AVERAGE($D$2:$D$407))^2</f>
        <v>96401.992962087839</v>
      </c>
      <c r="J67">
        <f t="shared" ref="J67:J130" si="10">(G67-AVERAGE($D$2:$D$407))^2</f>
        <v>118073.25534312017</v>
      </c>
    </row>
    <row r="68" spans="1:10" x14ac:dyDescent="0.25">
      <c r="A68" t="str">
        <f t="shared" si="6"/>
        <v>1997</v>
      </c>
      <c r="B68" t="str">
        <f t="shared" si="7"/>
        <v>Juillet</v>
      </c>
      <c r="C68" s="7" t="s">
        <v>618</v>
      </c>
      <c r="D68">
        <v>1591.5869140625</v>
      </c>
      <c r="E68" s="7">
        <v>99.214864120887995</v>
      </c>
      <c r="F68">
        <v>67</v>
      </c>
      <c r="G68">
        <f t="shared" si="8"/>
        <v>1536.558280779162</v>
      </c>
      <c r="H68">
        <f>(D68-G68)^2</f>
        <v>3028.1504810320912</v>
      </c>
      <c r="I68">
        <f t="shared" si="9"/>
        <v>81847.61339771247</v>
      </c>
      <c r="J68">
        <f t="shared" si="10"/>
        <v>116362.07137146981</v>
      </c>
    </row>
    <row r="69" spans="1:10" x14ac:dyDescent="0.25">
      <c r="A69" t="str">
        <f t="shared" si="6"/>
        <v>1997</v>
      </c>
      <c r="B69" t="str">
        <f t="shared" si="7"/>
        <v>Août</v>
      </c>
      <c r="C69" s="7" t="s">
        <v>652</v>
      </c>
      <c r="D69">
        <v>1710.02502441406</v>
      </c>
      <c r="E69" s="7">
        <v>106.597948840572</v>
      </c>
      <c r="F69">
        <v>68</v>
      </c>
      <c r="G69">
        <f t="shared" si="8"/>
        <v>1539.057319989904</v>
      </c>
      <c r="H69">
        <f>(D69-G69)^2</f>
        <v>29229.955956065554</v>
      </c>
      <c r="I69">
        <f t="shared" si="9"/>
        <v>28107.229528551499</v>
      </c>
      <c r="J69">
        <f t="shared" si="10"/>
        <v>114663.37779377311</v>
      </c>
    </row>
    <row r="70" spans="1:10" x14ac:dyDescent="0.25">
      <c r="A70" t="str">
        <f t="shared" si="6"/>
        <v>1997</v>
      </c>
      <c r="B70" t="str">
        <f t="shared" si="7"/>
        <v>Septembre</v>
      </c>
      <c r="C70" s="7" t="s">
        <v>686</v>
      </c>
      <c r="D70">
        <v>1611.61901855469</v>
      </c>
      <c r="E70" s="7">
        <v>100.463606811399</v>
      </c>
      <c r="F70">
        <v>69</v>
      </c>
      <c r="G70">
        <f t="shared" si="8"/>
        <v>1541.5563592006461</v>
      </c>
      <c r="H70">
        <f>(D70-G70)^2</f>
        <v>4908.7762357608017</v>
      </c>
      <c r="I70">
        <f t="shared" si="9"/>
        <v>70786.920286378532</v>
      </c>
      <c r="J70">
        <f t="shared" si="10"/>
        <v>112977.17461003005</v>
      </c>
    </row>
    <row r="71" spans="1:10" x14ac:dyDescent="0.25">
      <c r="A71" t="str">
        <f t="shared" si="6"/>
        <v>1997</v>
      </c>
      <c r="B71" t="str">
        <f t="shared" si="7"/>
        <v>Octobre</v>
      </c>
      <c r="C71" s="7" t="s">
        <v>720</v>
      </c>
      <c r="D71">
        <v>1607.32604980469</v>
      </c>
      <c r="E71" s="7">
        <v>100.195995719951</v>
      </c>
      <c r="F71">
        <v>70</v>
      </c>
      <c r="G71">
        <f t="shared" si="8"/>
        <v>1544.0553984113881</v>
      </c>
      <c r="H71">
        <f>(D71-G71)^2</f>
        <v>4003.1753277327398</v>
      </c>
      <c r="I71">
        <f t="shared" si="9"/>
        <v>73089.70820945251</v>
      </c>
      <c r="J71">
        <f t="shared" si="10"/>
        <v>111303.46182024066</v>
      </c>
    </row>
    <row r="72" spans="1:10" x14ac:dyDescent="0.25">
      <c r="A72" t="str">
        <f t="shared" si="6"/>
        <v>1997</v>
      </c>
      <c r="B72" t="str">
        <f t="shared" si="7"/>
        <v>Novembre</v>
      </c>
      <c r="C72" s="7" t="s">
        <v>754</v>
      </c>
      <c r="D72">
        <v>1598.32495117188</v>
      </c>
      <c r="E72" s="7">
        <v>99.634893608653897</v>
      </c>
      <c r="F72">
        <v>71</v>
      </c>
      <c r="G72">
        <f t="shared" si="8"/>
        <v>1546.5544376221301</v>
      </c>
      <c r="H72">
        <f>(D72-G72)^2</f>
        <v>2680.1860732048403</v>
      </c>
      <c r="I72">
        <f t="shared" si="9"/>
        <v>78037.641517524302</v>
      </c>
      <c r="J72">
        <f t="shared" si="10"/>
        <v>109642.23942440491</v>
      </c>
    </row>
    <row r="73" spans="1:10" x14ac:dyDescent="0.25">
      <c r="A73" t="str">
        <f t="shared" si="6"/>
        <v>1997</v>
      </c>
      <c r="B73" t="str">
        <f t="shared" si="7"/>
        <v>Décembre</v>
      </c>
      <c r="C73" s="7" t="s">
        <v>787</v>
      </c>
      <c r="D73">
        <v>1530.52380371094</v>
      </c>
      <c r="E73" s="7">
        <v>95.408368765340597</v>
      </c>
      <c r="F73">
        <v>72</v>
      </c>
      <c r="G73">
        <f t="shared" si="8"/>
        <v>1549.0534768328721</v>
      </c>
      <c r="H73">
        <f>(D73-G73)^2</f>
        <v>343.34878600565258</v>
      </c>
      <c r="I73">
        <f t="shared" si="9"/>
        <v>120515.43406803499</v>
      </c>
      <c r="J73">
        <f t="shared" si="10"/>
        <v>107993.5074225228</v>
      </c>
    </row>
    <row r="74" spans="1:10" x14ac:dyDescent="0.25">
      <c r="A74" t="str">
        <f t="shared" si="6"/>
        <v>1998</v>
      </c>
      <c r="B74" t="str">
        <f t="shared" si="7"/>
        <v>Janvier</v>
      </c>
      <c r="C74" s="7" t="s">
        <v>415</v>
      </c>
      <c r="D74">
        <v>1485.47497558594</v>
      </c>
      <c r="E74" s="7">
        <v>92.600156834382503</v>
      </c>
      <c r="F74">
        <v>73</v>
      </c>
      <c r="G74">
        <f t="shared" si="8"/>
        <v>1551.5525160436141</v>
      </c>
      <c r="H74">
        <f>(D74-G74)^2</f>
        <v>4366.2413529355581</v>
      </c>
      <c r="I74">
        <f t="shared" si="9"/>
        <v>153822.53231589452</v>
      </c>
      <c r="J74">
        <f t="shared" si="10"/>
        <v>106357.26581459436</v>
      </c>
    </row>
    <row r="75" spans="1:10" x14ac:dyDescent="0.25">
      <c r="A75" t="str">
        <f t="shared" si="6"/>
        <v>1998</v>
      </c>
      <c r="B75" t="str">
        <f t="shared" si="7"/>
        <v>février</v>
      </c>
      <c r="C75" s="7" t="s">
        <v>449</v>
      </c>
      <c r="D75">
        <v>1465.17504882813</v>
      </c>
      <c r="E75" s="7">
        <v>91.334718888678793</v>
      </c>
      <c r="F75">
        <v>74</v>
      </c>
      <c r="G75">
        <f t="shared" si="8"/>
        <v>1554.0515552543563</v>
      </c>
      <c r="H75">
        <f>(D75-G75)^2</f>
        <v>7899.0333945310522</v>
      </c>
      <c r="I75">
        <f t="shared" si="9"/>
        <v>170157.96948363323</v>
      </c>
      <c r="J75">
        <f t="shared" si="10"/>
        <v>104733.51460061941</v>
      </c>
    </row>
    <row r="76" spans="1:10" x14ac:dyDescent="0.25">
      <c r="A76" t="str">
        <f t="shared" si="6"/>
        <v>1998</v>
      </c>
      <c r="B76" t="str">
        <f t="shared" si="7"/>
        <v>Mars</v>
      </c>
      <c r="C76" s="7" t="s">
        <v>483</v>
      </c>
      <c r="D76">
        <v>1438.31823730469</v>
      </c>
      <c r="E76" s="7">
        <v>89.660543961456597</v>
      </c>
      <c r="F76">
        <v>75</v>
      </c>
      <c r="G76">
        <f t="shared" si="8"/>
        <v>1556.5505944650984</v>
      </c>
      <c r="H76">
        <f>(D76-G76)^2</f>
        <v>13978.890279706366</v>
      </c>
      <c r="I76">
        <f t="shared" si="9"/>
        <v>193036.2392665403</v>
      </c>
      <c r="J76">
        <f t="shared" si="10"/>
        <v>103122.25378059827</v>
      </c>
    </row>
    <row r="77" spans="1:10" x14ac:dyDescent="0.25">
      <c r="A77" t="str">
        <f t="shared" si="6"/>
        <v>1998</v>
      </c>
      <c r="B77" t="str">
        <f t="shared" si="7"/>
        <v>Avril</v>
      </c>
      <c r="C77" s="7" t="s">
        <v>517</v>
      </c>
      <c r="D77">
        <v>1417.55004882813</v>
      </c>
      <c r="E77" s="7">
        <v>88.365915952434193</v>
      </c>
      <c r="F77">
        <v>76</v>
      </c>
      <c r="G77">
        <f t="shared" si="8"/>
        <v>1559.0496336758404</v>
      </c>
      <c r="H77">
        <f>(D77-G77)^2</f>
        <v>20022.132512074386</v>
      </c>
      <c r="I77">
        <f t="shared" si="9"/>
        <v>211716.93363033299</v>
      </c>
      <c r="J77">
        <f t="shared" si="10"/>
        <v>101523.48335453079</v>
      </c>
    </row>
    <row r="78" spans="1:10" x14ac:dyDescent="0.25">
      <c r="A78" t="str">
        <f t="shared" si="6"/>
        <v>1998</v>
      </c>
      <c r="B78" t="str">
        <f t="shared" si="7"/>
        <v>Mai</v>
      </c>
      <c r="C78" s="7" t="s">
        <v>551</v>
      </c>
      <c r="D78">
        <v>1364.31579589844</v>
      </c>
      <c r="E78" s="7">
        <v>85.047448626314406</v>
      </c>
      <c r="F78">
        <v>77</v>
      </c>
      <c r="G78">
        <f t="shared" si="8"/>
        <v>1561.5486728865824</v>
      </c>
      <c r="H78">
        <f>(D78-G78)^2</f>
        <v>38900.807765019701</v>
      </c>
      <c r="I78">
        <f t="shared" si="9"/>
        <v>263539.86247736641</v>
      </c>
      <c r="J78">
        <f t="shared" si="10"/>
        <v>99937.203322416957</v>
      </c>
    </row>
    <row r="79" spans="1:10" x14ac:dyDescent="0.25">
      <c r="A79" t="str">
        <f t="shared" si="6"/>
        <v>1998</v>
      </c>
      <c r="B79" t="str">
        <f t="shared" si="7"/>
        <v>Juin</v>
      </c>
      <c r="C79" s="7" t="s">
        <v>585</v>
      </c>
      <c r="D79">
        <v>1305.52380371094</v>
      </c>
      <c r="E79" s="7">
        <v>81.382528121665203</v>
      </c>
      <c r="F79">
        <v>78</v>
      </c>
      <c r="G79">
        <f t="shared" si="8"/>
        <v>1564.0477120973244</v>
      </c>
      <c r="H79">
        <f>(D79-G79)^2</f>
        <v>66834.611207371665</v>
      </c>
      <c r="I79">
        <f t="shared" si="9"/>
        <v>327359.43226856465</v>
      </c>
      <c r="J79">
        <f t="shared" si="10"/>
        <v>98363.413684256768</v>
      </c>
    </row>
    <row r="80" spans="1:10" x14ac:dyDescent="0.25">
      <c r="A80" t="str">
        <f t="shared" si="6"/>
        <v>1998</v>
      </c>
      <c r="B80" t="str">
        <f t="shared" si="7"/>
        <v>Juillet</v>
      </c>
      <c r="C80" s="7" t="s">
        <v>619</v>
      </c>
      <c r="D80">
        <v>1312.66662597656</v>
      </c>
      <c r="E80" s="7">
        <v>81.827790729859302</v>
      </c>
      <c r="F80">
        <v>79</v>
      </c>
      <c r="G80">
        <f t="shared" si="8"/>
        <v>1566.5467513080664</v>
      </c>
      <c r="H80">
        <f>(D80-G80)^2</f>
        <v>64455.118038341403</v>
      </c>
      <c r="I80">
        <f t="shared" si="9"/>
        <v>319236.87309824454</v>
      </c>
      <c r="J80">
        <f t="shared" si="10"/>
        <v>96802.114440050238</v>
      </c>
    </row>
    <row r="81" spans="1:10" x14ac:dyDescent="0.25">
      <c r="A81" t="str">
        <f t="shared" si="6"/>
        <v>1998</v>
      </c>
      <c r="B81" t="str">
        <f t="shared" si="7"/>
        <v>Août</v>
      </c>
      <c r="C81" s="7" t="s">
        <v>653</v>
      </c>
      <c r="D81">
        <v>1310.55004882813</v>
      </c>
      <c r="E81" s="7">
        <v>81.695849512997398</v>
      </c>
      <c r="F81">
        <v>80</v>
      </c>
      <c r="G81">
        <f t="shared" si="8"/>
        <v>1569.0457905188084</v>
      </c>
      <c r="H81">
        <f>(D81-G81)^2</f>
        <v>66820.048472213937</v>
      </c>
      <c r="I81">
        <f t="shared" si="9"/>
        <v>321633.1296528395</v>
      </c>
      <c r="J81">
        <f t="shared" si="10"/>
        <v>95253.305589797354</v>
      </c>
    </row>
    <row r="82" spans="1:10" x14ac:dyDescent="0.25">
      <c r="A82" t="str">
        <f t="shared" si="6"/>
        <v>1998</v>
      </c>
      <c r="B82" t="str">
        <f t="shared" si="7"/>
        <v>Septembre</v>
      </c>
      <c r="C82" s="7" t="s">
        <v>687</v>
      </c>
      <c r="D82">
        <v>1341.88635253906</v>
      </c>
      <c r="E82" s="7">
        <v>83.649262856158899</v>
      </c>
      <c r="F82">
        <v>81</v>
      </c>
      <c r="G82">
        <f t="shared" si="8"/>
        <v>1571.5448297295507</v>
      </c>
      <c r="H82">
        <f>(D82-G82)^2</f>
        <v>52743.01614545512</v>
      </c>
      <c r="I82">
        <f t="shared" si="9"/>
        <v>287071.76047564694</v>
      </c>
      <c r="J82">
        <f t="shared" si="10"/>
        <v>93716.987133497998</v>
      </c>
    </row>
    <row r="83" spans="1:10" x14ac:dyDescent="0.25">
      <c r="A83" t="str">
        <f t="shared" si="6"/>
        <v>1998</v>
      </c>
      <c r="B83" t="str">
        <f t="shared" si="7"/>
        <v>Octobre</v>
      </c>
      <c r="C83" s="7" t="s">
        <v>721</v>
      </c>
      <c r="D83">
        <v>1303.70458984375</v>
      </c>
      <c r="E83" s="7">
        <v>81.269123660340895</v>
      </c>
      <c r="F83">
        <v>82</v>
      </c>
      <c r="G83">
        <f t="shared" si="8"/>
        <v>1574.0438689402927</v>
      </c>
      <c r="H83">
        <f>(D83-G83)^2</f>
        <v>73083.32582243839</v>
      </c>
      <c r="I83">
        <f t="shared" si="9"/>
        <v>329444.48034942773</v>
      </c>
      <c r="J83">
        <f t="shared" si="10"/>
        <v>92193.159071152419</v>
      </c>
    </row>
    <row r="84" spans="1:10" x14ac:dyDescent="0.25">
      <c r="A84" t="str">
        <f t="shared" si="6"/>
        <v>1998</v>
      </c>
      <c r="B84" t="str">
        <f t="shared" si="7"/>
        <v>Novembre</v>
      </c>
      <c r="C84" s="7" t="s">
        <v>755</v>
      </c>
      <c r="D84">
        <v>1295.30004882813</v>
      </c>
      <c r="E84" s="7">
        <v>80.745209202703904</v>
      </c>
      <c r="F84">
        <v>83</v>
      </c>
      <c r="G84">
        <f t="shared" si="8"/>
        <v>1576.5429081510347</v>
      </c>
      <c r="H84">
        <f>(D84-G84)^2</f>
        <v>79097.545920123157</v>
      </c>
      <c r="I84">
        <f t="shared" si="9"/>
        <v>339163.06822146778</v>
      </c>
      <c r="J84">
        <f t="shared" si="10"/>
        <v>90681.821402760499</v>
      </c>
    </row>
    <row r="85" spans="1:10" x14ac:dyDescent="0.25">
      <c r="A85" t="str">
        <f t="shared" si="6"/>
        <v>1998</v>
      </c>
      <c r="B85" t="str">
        <f t="shared" si="7"/>
        <v>Décembre</v>
      </c>
      <c r="C85" s="7" t="s">
        <v>788</v>
      </c>
      <c r="D85">
        <v>1250.39477539063</v>
      </c>
      <c r="E85" s="7">
        <v>77.945946050281407</v>
      </c>
      <c r="F85">
        <v>84</v>
      </c>
      <c r="G85">
        <f t="shared" si="8"/>
        <v>1579.0419473617767</v>
      </c>
      <c r="H85">
        <f>(D85-G85)^2</f>
        <v>108008.96364463247</v>
      </c>
      <c r="I85">
        <f t="shared" si="9"/>
        <v>393483.15622498991</v>
      </c>
      <c r="J85">
        <f t="shared" si="10"/>
        <v>89182.974128322225</v>
      </c>
    </row>
    <row r="86" spans="1:10" x14ac:dyDescent="0.25">
      <c r="A86" t="str">
        <f t="shared" si="6"/>
        <v>1999</v>
      </c>
      <c r="B86" t="str">
        <f t="shared" si="7"/>
        <v>Janvier</v>
      </c>
      <c r="C86" s="7" t="s">
        <v>416</v>
      </c>
      <c r="D86">
        <v>1219.40002441406</v>
      </c>
      <c r="E86" s="7">
        <v>76.013824103669094</v>
      </c>
      <c r="F86">
        <v>85</v>
      </c>
      <c r="G86">
        <f t="shared" si="8"/>
        <v>1581.5409865725187</v>
      </c>
      <c r="H86">
        <f>(D86-G86)^2</f>
        <v>131146.07647305421</v>
      </c>
      <c r="I86">
        <f t="shared" si="9"/>
        <v>433328.75174810324</v>
      </c>
      <c r="J86">
        <f t="shared" si="10"/>
        <v>87696.61724783761</v>
      </c>
    </row>
    <row r="87" spans="1:10" x14ac:dyDescent="0.25">
      <c r="A87" t="str">
        <f t="shared" si="6"/>
        <v>1999</v>
      </c>
      <c r="B87" t="str">
        <f t="shared" si="7"/>
        <v>février</v>
      </c>
      <c r="C87" s="7" t="s">
        <v>450</v>
      </c>
      <c r="D87">
        <v>1186.4749999999999</v>
      </c>
      <c r="E87" s="7">
        <v>73.961374567576996</v>
      </c>
      <c r="F87">
        <v>86</v>
      </c>
      <c r="G87">
        <f t="shared" si="8"/>
        <v>1584.0400257832607</v>
      </c>
      <c r="H87">
        <f>(D87-G87)^2</f>
        <v>158057.94972604484</v>
      </c>
      <c r="I87">
        <f t="shared" si="9"/>
        <v>477760.38872658054</v>
      </c>
      <c r="J87">
        <f t="shared" si="10"/>
        <v>86222.750761306641</v>
      </c>
    </row>
    <row r="88" spans="1:10" x14ac:dyDescent="0.25">
      <c r="A88" t="str">
        <f t="shared" si="6"/>
        <v>1999</v>
      </c>
      <c r="B88" t="str">
        <f t="shared" si="7"/>
        <v>Mars</v>
      </c>
      <c r="C88" s="7" t="s">
        <v>484</v>
      </c>
      <c r="D88">
        <v>1179.8636363636399</v>
      </c>
      <c r="E88" s="7">
        <v>73.549241532905995</v>
      </c>
      <c r="F88">
        <v>87</v>
      </c>
      <c r="G88">
        <f t="shared" si="8"/>
        <v>1586.5390649940027</v>
      </c>
      <c r="H88">
        <f>(D88-G88)^2</f>
        <v>165384.90425168932</v>
      </c>
      <c r="I88">
        <f t="shared" si="9"/>
        <v>486943.67615129502</v>
      </c>
      <c r="J88">
        <f t="shared" si="10"/>
        <v>84761.374668729331</v>
      </c>
    </row>
    <row r="89" spans="1:10" x14ac:dyDescent="0.25">
      <c r="A89" t="str">
        <f t="shared" si="6"/>
        <v>1999</v>
      </c>
      <c r="B89" t="str">
        <f t="shared" si="7"/>
        <v>Avril</v>
      </c>
      <c r="C89" s="7" t="s">
        <v>518</v>
      </c>
      <c r="D89">
        <v>1277.8499999999999</v>
      </c>
      <c r="E89" s="7">
        <v>79.657424295647402</v>
      </c>
      <c r="F89">
        <v>88</v>
      </c>
      <c r="G89">
        <f t="shared" si="8"/>
        <v>1589.0381042047447</v>
      </c>
      <c r="H89">
        <f>(D89-G89)^2</f>
        <v>96838.036198543123</v>
      </c>
      <c r="I89">
        <f t="shared" si="9"/>
        <v>359792.58953752444</v>
      </c>
      <c r="J89">
        <f t="shared" si="10"/>
        <v>83312.488970105667</v>
      </c>
    </row>
    <row r="90" spans="1:10" x14ac:dyDescent="0.25">
      <c r="A90" t="str">
        <f t="shared" si="6"/>
        <v>1999</v>
      </c>
      <c r="B90" t="str">
        <f t="shared" si="7"/>
        <v>Mai</v>
      </c>
      <c r="C90" s="7" t="s">
        <v>552</v>
      </c>
      <c r="D90">
        <v>1323.1315789473699</v>
      </c>
      <c r="E90" s="7">
        <v>82.480145230802194</v>
      </c>
      <c r="F90">
        <v>89</v>
      </c>
      <c r="G90">
        <f t="shared" si="8"/>
        <v>1591.5371434154868</v>
      </c>
      <c r="H90">
        <f>(D90-G90)^2</f>
        <v>72041.547037448428</v>
      </c>
      <c r="I90">
        <f t="shared" si="9"/>
        <v>307520.77156994701</v>
      </c>
      <c r="J90">
        <f t="shared" si="10"/>
        <v>81876.093665435663</v>
      </c>
    </row>
    <row r="91" spans="1:10" x14ac:dyDescent="0.25">
      <c r="A91" t="str">
        <f t="shared" si="6"/>
        <v>1999</v>
      </c>
      <c r="B91" t="str">
        <f t="shared" si="7"/>
        <v>Juin</v>
      </c>
      <c r="C91" s="7" t="s">
        <v>586</v>
      </c>
      <c r="D91">
        <v>1315.52272727273</v>
      </c>
      <c r="E91" s="7">
        <v>82.005831714936093</v>
      </c>
      <c r="F91">
        <v>90</v>
      </c>
      <c r="G91">
        <f t="shared" si="8"/>
        <v>1594.0361826262288</v>
      </c>
      <c r="H91">
        <f>(D91-G91)^2</f>
        <v>77569.744812945355</v>
      </c>
      <c r="I91">
        <f t="shared" si="9"/>
        <v>316017.57592968032</v>
      </c>
      <c r="J91">
        <f t="shared" si="10"/>
        <v>80452.188754719304</v>
      </c>
    </row>
    <row r="92" spans="1:10" x14ac:dyDescent="0.25">
      <c r="A92" t="str">
        <f t="shared" si="6"/>
        <v>1999</v>
      </c>
      <c r="B92" t="str">
        <f t="shared" si="7"/>
        <v>Juillet</v>
      </c>
      <c r="C92" s="7" t="s">
        <v>620</v>
      </c>
      <c r="D92">
        <v>1403.3636363636399</v>
      </c>
      <c r="E92" s="7">
        <v>87.481576572290194</v>
      </c>
      <c r="F92">
        <v>91</v>
      </c>
      <c r="G92">
        <f t="shared" si="8"/>
        <v>1596.535221836971</v>
      </c>
      <c r="H92">
        <f>(D92-G92)^2</f>
        <v>37315.261434280466</v>
      </c>
      <c r="I92">
        <f t="shared" si="9"/>
        <v>224973.2931345258</v>
      </c>
      <c r="J92">
        <f t="shared" si="10"/>
        <v>79040.774237956473</v>
      </c>
    </row>
    <row r="93" spans="1:10" x14ac:dyDescent="0.25">
      <c r="A93" t="str">
        <f t="shared" si="6"/>
        <v>1999</v>
      </c>
      <c r="B93" t="str">
        <f t="shared" si="7"/>
        <v>Août</v>
      </c>
      <c r="C93" s="7" t="s">
        <v>654</v>
      </c>
      <c r="D93">
        <v>1421.69047619048</v>
      </c>
      <c r="E93" s="7">
        <v>88.624018060794398</v>
      </c>
      <c r="F93">
        <v>92</v>
      </c>
      <c r="G93">
        <f t="shared" si="8"/>
        <v>1599.034261047713</v>
      </c>
      <c r="H93">
        <f>(D93-G93)^2</f>
        <v>31450.818027488545</v>
      </c>
      <c r="I93">
        <f t="shared" si="9"/>
        <v>207923.83122977245</v>
      </c>
      <c r="J93">
        <f t="shared" si="10"/>
        <v>77641.850115147419</v>
      </c>
    </row>
    <row r="94" spans="1:10" x14ac:dyDescent="0.25">
      <c r="A94" t="str">
        <f t="shared" si="6"/>
        <v>1999</v>
      </c>
      <c r="B94" t="str">
        <f t="shared" si="7"/>
        <v>Septembre</v>
      </c>
      <c r="C94" s="7" t="s">
        <v>688</v>
      </c>
      <c r="D94">
        <v>1492.0681818181799</v>
      </c>
      <c r="E94" s="7">
        <v>93.011157989690403</v>
      </c>
      <c r="F94">
        <v>93</v>
      </c>
      <c r="G94">
        <f t="shared" si="8"/>
        <v>1601.533300258455</v>
      </c>
      <c r="H94">
        <f>(D94-G94)^2</f>
        <v>11982.612155143453</v>
      </c>
      <c r="I94">
        <f t="shared" si="9"/>
        <v>148694.2632665954</v>
      </c>
      <c r="J94">
        <f t="shared" si="10"/>
        <v>76255.41638629201</v>
      </c>
    </row>
    <row r="95" spans="1:10" x14ac:dyDescent="0.25">
      <c r="A95" t="str">
        <f t="shared" si="6"/>
        <v>1999</v>
      </c>
      <c r="B95" t="str">
        <f t="shared" si="7"/>
        <v>Octobre</v>
      </c>
      <c r="C95" s="7" t="s">
        <v>722</v>
      </c>
      <c r="D95">
        <v>1473.3333333333301</v>
      </c>
      <c r="E95" s="7">
        <v>91.843282437104193</v>
      </c>
      <c r="F95">
        <v>94</v>
      </c>
      <c r="G95">
        <f t="shared" si="8"/>
        <v>1604.032339469197</v>
      </c>
      <c r="H95">
        <f>(D95-G95)^2</f>
        <v>17082.23020490339</v>
      </c>
      <c r="I95">
        <f t="shared" si="9"/>
        <v>163493.9083656352</v>
      </c>
      <c r="J95">
        <f t="shared" si="10"/>
        <v>74881.473051390261</v>
      </c>
    </row>
    <row r="96" spans="1:10" x14ac:dyDescent="0.25">
      <c r="A96" t="str">
        <f t="shared" si="6"/>
        <v>1999</v>
      </c>
      <c r="B96" t="str">
        <f t="shared" si="7"/>
        <v>Novembre</v>
      </c>
      <c r="C96" s="7" t="s">
        <v>756</v>
      </c>
      <c r="D96">
        <v>1472.4318181818201</v>
      </c>
      <c r="E96" s="7">
        <v>91.787084624424494</v>
      </c>
      <c r="F96">
        <v>95</v>
      </c>
      <c r="G96">
        <f t="shared" si="8"/>
        <v>1606.5313786799391</v>
      </c>
      <c r="H96">
        <f>(D96-G96)^2</f>
        <v>17982.692125788675</v>
      </c>
      <c r="I96">
        <f t="shared" si="9"/>
        <v>164223.76521892284</v>
      </c>
      <c r="J96">
        <f t="shared" si="10"/>
        <v>73520.020110442172</v>
      </c>
    </row>
    <row r="97" spans="1:10" x14ac:dyDescent="0.25">
      <c r="A97" t="str">
        <f t="shared" si="6"/>
        <v>1999</v>
      </c>
      <c r="B97" t="str">
        <f t="shared" si="7"/>
        <v>Décembre</v>
      </c>
      <c r="C97" s="7" t="s">
        <v>789</v>
      </c>
      <c r="D97">
        <v>1554.73529411765</v>
      </c>
      <c r="E97" s="7">
        <v>96.917642126186806</v>
      </c>
      <c r="F97">
        <v>96</v>
      </c>
      <c r="G97">
        <f t="shared" si="8"/>
        <v>1609.0304178906811</v>
      </c>
      <c r="H97">
        <f>(D97-G97)^2</f>
        <v>2947.9604655287599</v>
      </c>
      <c r="I97">
        <f t="shared" si="9"/>
        <v>104291.4313300693</v>
      </c>
      <c r="J97">
        <f t="shared" si="10"/>
        <v>72171.057563447728</v>
      </c>
    </row>
    <row r="98" spans="1:10" x14ac:dyDescent="0.25">
      <c r="A98" t="str">
        <f t="shared" si="6"/>
        <v>2000</v>
      </c>
      <c r="B98" t="str">
        <f t="shared" si="7"/>
        <v>Janvier</v>
      </c>
      <c r="C98" s="7" t="s">
        <v>417</v>
      </c>
      <c r="D98">
        <v>1679.85</v>
      </c>
      <c r="E98" s="7">
        <v>104.71692624568099</v>
      </c>
      <c r="F98">
        <v>97</v>
      </c>
      <c r="G98">
        <f t="shared" si="8"/>
        <v>1611.5294571014231</v>
      </c>
      <c r="H98">
        <f>(D98-G98)^2</f>
        <v>4667.6965819562774</v>
      </c>
      <c r="I98">
        <f t="shared" si="9"/>
        <v>39135.574568982338</v>
      </c>
      <c r="J98">
        <f t="shared" si="10"/>
        <v>70834.585410406944</v>
      </c>
    </row>
    <row r="99" spans="1:10" x14ac:dyDescent="0.25">
      <c r="A99" t="str">
        <f t="shared" si="6"/>
        <v>2000</v>
      </c>
      <c r="B99" t="str">
        <f t="shared" si="7"/>
        <v>février</v>
      </c>
      <c r="C99" s="7" t="s">
        <v>451</v>
      </c>
      <c r="D99">
        <v>1679.425</v>
      </c>
      <c r="E99" s="7">
        <v>104.690432991132</v>
      </c>
      <c r="F99">
        <v>98</v>
      </c>
      <c r="G99">
        <f t="shared" si="8"/>
        <v>1614.0284963121653</v>
      </c>
      <c r="H99">
        <f>(D99-G99)^2</f>
        <v>4276.7026945929692</v>
      </c>
      <c r="I99">
        <f t="shared" si="9"/>
        <v>39303.908257070951</v>
      </c>
      <c r="J99">
        <f t="shared" si="10"/>
        <v>69510.603651319674</v>
      </c>
    </row>
    <row r="100" spans="1:10" x14ac:dyDescent="0.25">
      <c r="A100" t="str">
        <f t="shared" si="6"/>
        <v>2000</v>
      </c>
      <c r="B100" t="str">
        <f t="shared" si="7"/>
        <v>Mars</v>
      </c>
      <c r="C100" s="7" t="s">
        <v>485</v>
      </c>
      <c r="D100">
        <v>1579.64</v>
      </c>
      <c r="E100" s="7">
        <v>98.470128508335506</v>
      </c>
      <c r="F100">
        <v>99</v>
      </c>
      <c r="G100">
        <f t="shared" si="8"/>
        <v>1616.5275355229073</v>
      </c>
      <c r="H100">
        <f>(D100-G100)^2</f>
        <v>1360.6902769537426</v>
      </c>
      <c r="I100">
        <f t="shared" si="9"/>
        <v>88826.13267395139</v>
      </c>
      <c r="J100">
        <f t="shared" si="10"/>
        <v>68199.112286186195</v>
      </c>
    </row>
    <row r="101" spans="1:10" x14ac:dyDescent="0.25">
      <c r="A101" t="str">
        <f t="shared" si="6"/>
        <v>2000</v>
      </c>
      <c r="B101" t="str">
        <f t="shared" si="7"/>
        <v>Avril</v>
      </c>
      <c r="C101" s="7" t="s">
        <v>519</v>
      </c>
      <c r="D101">
        <v>1458.7449999999999</v>
      </c>
      <c r="E101" s="7">
        <v>90.933888487814798</v>
      </c>
      <c r="F101">
        <v>100</v>
      </c>
      <c r="G101">
        <f t="shared" si="8"/>
        <v>1619.0265747336493</v>
      </c>
      <c r="H101">
        <f>(D101-G101)^2</f>
        <v>25690.183199098454</v>
      </c>
      <c r="I101">
        <f t="shared" si="9"/>
        <v>175504.13209801097</v>
      </c>
      <c r="J101">
        <f t="shared" si="10"/>
        <v>66900.111315006361</v>
      </c>
    </row>
    <row r="102" spans="1:10" x14ac:dyDescent="0.25">
      <c r="A102" t="str">
        <f t="shared" si="6"/>
        <v>2000</v>
      </c>
      <c r="B102" t="str">
        <f t="shared" si="7"/>
        <v>Mai</v>
      </c>
      <c r="C102" s="7" t="s">
        <v>553</v>
      </c>
      <c r="D102">
        <v>1468.0652173912999</v>
      </c>
      <c r="E102" s="7">
        <v>91.514883527347195</v>
      </c>
      <c r="F102">
        <v>101</v>
      </c>
      <c r="G102">
        <f t="shared" si="8"/>
        <v>1621.5256139443914</v>
      </c>
      <c r="H102">
        <f>(D102-G102)^2</f>
        <v>23550.093310232071</v>
      </c>
      <c r="I102">
        <f t="shared" si="9"/>
        <v>167781.9214458628</v>
      </c>
      <c r="J102">
        <f t="shared" si="10"/>
        <v>65613.600737780172</v>
      </c>
    </row>
    <row r="103" spans="1:10" x14ac:dyDescent="0.25">
      <c r="A103" t="str">
        <f t="shared" si="6"/>
        <v>2000</v>
      </c>
      <c r="B103" t="str">
        <f t="shared" si="7"/>
        <v>Juin</v>
      </c>
      <c r="C103" s="7" t="s">
        <v>587</v>
      </c>
      <c r="D103">
        <v>1509.3727272727299</v>
      </c>
      <c r="E103" s="7">
        <v>94.089872642831594</v>
      </c>
      <c r="F103">
        <v>102</v>
      </c>
      <c r="G103">
        <f t="shared" si="8"/>
        <v>1624.0246531551334</v>
      </c>
      <c r="H103">
        <f>(D103-G103)^2</f>
        <v>13145.06410854414</v>
      </c>
      <c r="I103">
        <f t="shared" si="9"/>
        <v>135648.13531159671</v>
      </c>
      <c r="J103">
        <f t="shared" si="10"/>
        <v>64339.580554507644</v>
      </c>
    </row>
    <row r="104" spans="1:10" x14ac:dyDescent="0.25">
      <c r="A104" t="str">
        <f t="shared" si="6"/>
        <v>2000</v>
      </c>
      <c r="B104" t="str">
        <f t="shared" si="7"/>
        <v>Juillet</v>
      </c>
      <c r="C104" s="7" t="s">
        <v>621</v>
      </c>
      <c r="D104">
        <v>1564.37619047619</v>
      </c>
      <c r="E104" s="7">
        <v>97.518627352796003</v>
      </c>
      <c r="F104">
        <v>103</v>
      </c>
      <c r="G104">
        <f t="shared" si="8"/>
        <v>1626.5236923658754</v>
      </c>
      <c r="H104">
        <f>(D104-G104)^2</f>
        <v>3862.3119911284471</v>
      </c>
      <c r="I104">
        <f t="shared" si="9"/>
        <v>98157.480614786953</v>
      </c>
      <c r="J104">
        <f t="shared" si="10"/>
        <v>63078.050765188767</v>
      </c>
    </row>
    <row r="105" spans="1:10" x14ac:dyDescent="0.25">
      <c r="A105" t="str">
        <f t="shared" si="6"/>
        <v>2000</v>
      </c>
      <c r="B105" t="str">
        <f t="shared" si="7"/>
        <v>Août</v>
      </c>
      <c r="C105" s="7" t="s">
        <v>655</v>
      </c>
      <c r="D105">
        <v>1530.3347826086999</v>
      </c>
      <c r="E105" s="7">
        <v>95.396585743748105</v>
      </c>
      <c r="F105">
        <v>104</v>
      </c>
      <c r="G105">
        <f t="shared" si="8"/>
        <v>1629.0227315766174</v>
      </c>
      <c r="H105">
        <f>(D105-G105)^2</f>
        <v>9739.3112714942818</v>
      </c>
      <c r="I105">
        <f t="shared" si="9"/>
        <v>120646.70840692632</v>
      </c>
      <c r="J105">
        <f t="shared" si="10"/>
        <v>61829.011369823544</v>
      </c>
    </row>
    <row r="106" spans="1:10" x14ac:dyDescent="0.25">
      <c r="A106" t="str">
        <f t="shared" si="6"/>
        <v>2000</v>
      </c>
      <c r="B106" t="str">
        <f t="shared" si="7"/>
        <v>Septembre</v>
      </c>
      <c r="C106" s="7" t="s">
        <v>689</v>
      </c>
      <c r="D106">
        <v>1602.30952380952</v>
      </c>
      <c r="E106" s="7">
        <v>99.883280190203607</v>
      </c>
      <c r="F106">
        <v>105</v>
      </c>
      <c r="G106">
        <f t="shared" si="8"/>
        <v>1631.5217707873594</v>
      </c>
      <c r="H106">
        <f>(D106-G106)^2</f>
        <v>853.35537349428796</v>
      </c>
      <c r="I106">
        <f t="shared" si="9"/>
        <v>75827.32021631203</v>
      </c>
      <c r="J106">
        <f t="shared" si="10"/>
        <v>60592.462368411972</v>
      </c>
    </row>
    <row r="107" spans="1:10" x14ac:dyDescent="0.25">
      <c r="A107" t="str">
        <f t="shared" si="6"/>
        <v>2000</v>
      </c>
      <c r="B107" t="str">
        <f t="shared" si="7"/>
        <v>Octobre</v>
      </c>
      <c r="C107" s="7" t="s">
        <v>723</v>
      </c>
      <c r="D107">
        <v>1501.24545454545</v>
      </c>
      <c r="E107" s="7">
        <v>93.583242277762594</v>
      </c>
      <c r="F107">
        <v>106</v>
      </c>
      <c r="G107">
        <f t="shared" si="8"/>
        <v>1634.0208099981014</v>
      </c>
      <c r="H107">
        <f>(D107-G107)^2</f>
        <v>17629.295015577929</v>
      </c>
      <c r="I107">
        <f t="shared" si="9"/>
        <v>141700.80857832759</v>
      </c>
      <c r="J107">
        <f t="shared" si="10"/>
        <v>59368.403760954046</v>
      </c>
    </row>
    <row r="108" spans="1:10" x14ac:dyDescent="0.25">
      <c r="A108" t="str">
        <f t="shared" si="6"/>
        <v>2000</v>
      </c>
      <c r="B108" t="str">
        <f t="shared" si="7"/>
        <v>Novembre</v>
      </c>
      <c r="C108" s="7" t="s">
        <v>757</v>
      </c>
      <c r="D108">
        <v>1475.55454545455</v>
      </c>
      <c r="E108" s="7">
        <v>91.981746291539906</v>
      </c>
      <c r="F108">
        <v>107</v>
      </c>
      <c r="G108">
        <f t="shared" si="8"/>
        <v>1636.5198492088434</v>
      </c>
      <c r="H108">
        <f>(D108-G108)^2</f>
        <v>25909.829012711965</v>
      </c>
      <c r="I108">
        <f t="shared" si="9"/>
        <v>161702.57545080135</v>
      </c>
      <c r="J108">
        <f t="shared" si="10"/>
        <v>58156.83554744978</v>
      </c>
    </row>
    <row r="109" spans="1:10" x14ac:dyDescent="0.25">
      <c r="A109" t="str">
        <f t="shared" si="6"/>
        <v>2000</v>
      </c>
      <c r="B109" t="str">
        <f t="shared" si="7"/>
        <v>Décembre</v>
      </c>
      <c r="C109" s="7" t="s">
        <v>790</v>
      </c>
      <c r="D109">
        <v>1569.0550000000001</v>
      </c>
      <c r="E109" s="7">
        <v>97.810290627387403</v>
      </c>
      <c r="F109">
        <v>108</v>
      </c>
      <c r="G109">
        <f t="shared" si="8"/>
        <v>1639.0188884195857</v>
      </c>
      <c r="H109">
        <f>(D109-G109)^2</f>
        <v>4894.9456827882241</v>
      </c>
      <c r="I109">
        <f t="shared" si="9"/>
        <v>95247.621005523601</v>
      </c>
      <c r="J109">
        <f t="shared" si="10"/>
        <v>56957.757727899057</v>
      </c>
    </row>
    <row r="110" spans="1:10" x14ac:dyDescent="0.25">
      <c r="A110" t="str">
        <f t="shared" si="6"/>
        <v>2001</v>
      </c>
      <c r="B110" t="str">
        <f t="shared" si="7"/>
        <v>Janvier</v>
      </c>
      <c r="C110" s="7" t="s">
        <v>418</v>
      </c>
      <c r="D110">
        <v>1619.8772727272701</v>
      </c>
      <c r="E110" s="7">
        <v>100.97840217593</v>
      </c>
      <c r="F110">
        <v>109</v>
      </c>
      <c r="G110">
        <f t="shared" si="8"/>
        <v>1641.5179276303277</v>
      </c>
      <c r="H110">
        <f>(D110-G110)^2</f>
        <v>468.3179446332295</v>
      </c>
      <c r="I110">
        <f t="shared" si="9"/>
        <v>66460.767980073229</v>
      </c>
      <c r="J110">
        <f t="shared" si="10"/>
        <v>55771.170302302089</v>
      </c>
    </row>
    <row r="111" spans="1:10" x14ac:dyDescent="0.25">
      <c r="A111" t="str">
        <f t="shared" si="6"/>
        <v>2001</v>
      </c>
      <c r="B111" t="str">
        <f t="shared" si="7"/>
        <v>février</v>
      </c>
      <c r="C111" s="7" t="s">
        <v>452</v>
      </c>
      <c r="D111">
        <v>1607.03</v>
      </c>
      <c r="E111" s="7">
        <v>100.177540842692</v>
      </c>
      <c r="F111">
        <v>110</v>
      </c>
      <c r="G111">
        <f t="shared" si="8"/>
        <v>1644.0169668410697</v>
      </c>
      <c r="H111">
        <f>(D111-G111)^2</f>
        <v>1368.0357161023908</v>
      </c>
      <c r="I111">
        <f t="shared" si="9"/>
        <v>73249.870625721698</v>
      </c>
      <c r="J111">
        <f t="shared" si="10"/>
        <v>54597.073270658781</v>
      </c>
    </row>
    <row r="112" spans="1:10" x14ac:dyDescent="0.25">
      <c r="A112" t="str">
        <f t="shared" si="6"/>
        <v>2001</v>
      </c>
      <c r="B112" t="str">
        <f t="shared" si="7"/>
        <v>Mars</v>
      </c>
      <c r="C112" s="7" t="s">
        <v>486</v>
      </c>
      <c r="D112">
        <v>1512.1727272727301</v>
      </c>
      <c r="E112" s="7">
        <v>94.264416437508402</v>
      </c>
      <c r="F112">
        <v>111</v>
      </c>
      <c r="G112">
        <f t="shared" si="8"/>
        <v>1646.5160060518117</v>
      </c>
      <c r="H112">
        <f>(D112-G112)^2</f>
        <v>18048.116553114043</v>
      </c>
      <c r="I112">
        <f t="shared" si="9"/>
        <v>133593.47063926933</v>
      </c>
      <c r="J112">
        <f t="shared" si="10"/>
        <v>53435.466632969117</v>
      </c>
    </row>
    <row r="113" spans="1:10" x14ac:dyDescent="0.25">
      <c r="A113" t="str">
        <f t="shared" si="6"/>
        <v>2001</v>
      </c>
      <c r="B113" t="str">
        <f t="shared" si="7"/>
        <v>Avril</v>
      </c>
      <c r="C113" s="7" t="s">
        <v>520</v>
      </c>
      <c r="D113">
        <v>1499.4833333333299</v>
      </c>
      <c r="E113" s="7">
        <v>93.473396805246907</v>
      </c>
      <c r="F113">
        <v>112</v>
      </c>
      <c r="G113">
        <f t="shared" si="8"/>
        <v>1649.0150452625537</v>
      </c>
      <c r="H113">
        <f>(D113-G113)^2</f>
        <v>22359.732872484365</v>
      </c>
      <c r="I113">
        <f t="shared" si="9"/>
        <v>143030.55014069143</v>
      </c>
      <c r="J113">
        <f t="shared" si="10"/>
        <v>52286.350389233114</v>
      </c>
    </row>
    <row r="114" spans="1:10" x14ac:dyDescent="0.25">
      <c r="A114" t="str">
        <f t="shared" si="6"/>
        <v>2001</v>
      </c>
      <c r="B114" t="str">
        <f t="shared" si="7"/>
        <v>Mai</v>
      </c>
      <c r="C114" s="7" t="s">
        <v>554</v>
      </c>
      <c r="D114">
        <v>1542.3904761904801</v>
      </c>
      <c r="E114" s="7">
        <v>96.148102352757107</v>
      </c>
      <c r="F114">
        <v>113</v>
      </c>
      <c r="G114">
        <f t="shared" si="8"/>
        <v>1651.5140844732957</v>
      </c>
      <c r="H114">
        <f>(D114-G114)^2</f>
        <v>11907.961884661396</v>
      </c>
      <c r="I114">
        <f t="shared" si="9"/>
        <v>112417.14226498257</v>
      </c>
      <c r="J114">
        <f t="shared" si="10"/>
        <v>51149.724539450755</v>
      </c>
    </row>
    <row r="115" spans="1:10" x14ac:dyDescent="0.25">
      <c r="A115" t="str">
        <f t="shared" si="6"/>
        <v>2001</v>
      </c>
      <c r="B115" t="str">
        <f t="shared" si="7"/>
        <v>Juin</v>
      </c>
      <c r="C115" s="7" t="s">
        <v>588</v>
      </c>
      <c r="D115">
        <v>1470.8333333333301</v>
      </c>
      <c r="E115" s="7">
        <v>91.687439763285596</v>
      </c>
      <c r="F115">
        <v>114</v>
      </c>
      <c r="G115">
        <f t="shared" si="8"/>
        <v>1654.0131236840377</v>
      </c>
      <c r="H115">
        <f>(D115-G115)^2</f>
        <v>33554.835592929216</v>
      </c>
      <c r="I115">
        <f t="shared" si="9"/>
        <v>165521.87736419583</v>
      </c>
      <c r="J115">
        <f t="shared" si="10"/>
        <v>50025.589083622057</v>
      </c>
    </row>
    <row r="116" spans="1:10" x14ac:dyDescent="0.25">
      <c r="A116" t="str">
        <f t="shared" si="6"/>
        <v>2001</v>
      </c>
      <c r="B116" t="str">
        <f t="shared" si="7"/>
        <v>Juillet</v>
      </c>
      <c r="C116" s="7" t="s">
        <v>622</v>
      </c>
      <c r="D116">
        <v>1418.6227272727299</v>
      </c>
      <c r="E116" s="7">
        <v>88.432783583215794</v>
      </c>
      <c r="F116">
        <v>115</v>
      </c>
      <c r="G116">
        <f t="shared" si="8"/>
        <v>1656.51216289478</v>
      </c>
      <c r="H116">
        <f>(D116-G116)^2</f>
        <v>56591.383580577516</v>
      </c>
      <c r="I116">
        <f t="shared" si="9"/>
        <v>210730.94745934545</v>
      </c>
      <c r="J116">
        <f t="shared" si="10"/>
        <v>48913.944021746902</v>
      </c>
    </row>
    <row r="117" spans="1:10" x14ac:dyDescent="0.25">
      <c r="A117" t="str">
        <f t="shared" si="6"/>
        <v>2001</v>
      </c>
      <c r="B117" t="str">
        <f t="shared" si="7"/>
        <v>Août</v>
      </c>
      <c r="C117" s="7" t="s">
        <v>656</v>
      </c>
      <c r="D117">
        <v>1377.8454545454499</v>
      </c>
      <c r="E117" s="7">
        <v>85.890847898075705</v>
      </c>
      <c r="F117">
        <v>116</v>
      </c>
      <c r="G117">
        <f t="shared" si="8"/>
        <v>1659.011202105522</v>
      </c>
      <c r="H117">
        <f>(D117-G117)^2</f>
        <v>79054.177601014177</v>
      </c>
      <c r="I117">
        <f t="shared" si="9"/>
        <v>249831.70683212776</v>
      </c>
      <c r="J117">
        <f t="shared" si="10"/>
        <v>47814.789353825508</v>
      </c>
    </row>
    <row r="118" spans="1:10" x14ac:dyDescent="0.25">
      <c r="A118" t="str">
        <f t="shared" si="6"/>
        <v>2001</v>
      </c>
      <c r="B118" t="str">
        <f t="shared" si="7"/>
        <v>Septembre</v>
      </c>
      <c r="C118" s="7" t="s">
        <v>690</v>
      </c>
      <c r="D118">
        <v>1345.9949999999999</v>
      </c>
      <c r="E118" s="7">
        <v>83.905383898595204</v>
      </c>
      <c r="F118">
        <v>117</v>
      </c>
      <c r="G118">
        <f t="shared" si="8"/>
        <v>1661.510241316264</v>
      </c>
      <c r="H118">
        <f>(D118-G118)^2</f>
        <v>99549.867502860376</v>
      </c>
      <c r="I118">
        <f t="shared" si="9"/>
        <v>282685.89059976005</v>
      </c>
      <c r="J118">
        <f t="shared" si="10"/>
        <v>46728.12507985776</v>
      </c>
    </row>
    <row r="119" spans="1:10" x14ac:dyDescent="0.25">
      <c r="A119" t="str">
        <f t="shared" si="6"/>
        <v>2001</v>
      </c>
      <c r="B119" t="str">
        <f t="shared" si="7"/>
        <v>Octobre</v>
      </c>
      <c r="C119" s="7" t="s">
        <v>724</v>
      </c>
      <c r="D119">
        <v>1283.53043478261</v>
      </c>
      <c r="E119" s="7">
        <v>80.011525953637104</v>
      </c>
      <c r="F119">
        <v>118</v>
      </c>
      <c r="G119">
        <f t="shared" si="8"/>
        <v>1664.009280527006</v>
      </c>
      <c r="H119">
        <f>(D119-G119)^2</f>
        <v>144764.15205898791</v>
      </c>
      <c r="I119">
        <f t="shared" si="9"/>
        <v>353010.29905663466</v>
      </c>
      <c r="J119">
        <f t="shared" si="10"/>
        <v>45653.951199843665</v>
      </c>
    </row>
    <row r="120" spans="1:10" x14ac:dyDescent="0.25">
      <c r="A120" t="str">
        <f t="shared" si="6"/>
        <v>2001</v>
      </c>
      <c r="B120" t="str">
        <f t="shared" si="7"/>
        <v>Novembre</v>
      </c>
      <c r="C120" s="7" t="s">
        <v>758</v>
      </c>
      <c r="D120">
        <v>1334.45454545455</v>
      </c>
      <c r="E120" s="7">
        <v>83.185985781217198</v>
      </c>
      <c r="F120">
        <v>119</v>
      </c>
      <c r="G120">
        <f t="shared" si="8"/>
        <v>1666.508319737748</v>
      </c>
      <c r="H120">
        <f>(D120-G120)^2</f>
        <v>110259.70901571699</v>
      </c>
      <c r="I120">
        <f t="shared" si="9"/>
        <v>295090.77966895333</v>
      </c>
      <c r="J120">
        <f t="shared" si="10"/>
        <v>44592.267713783229</v>
      </c>
    </row>
    <row r="121" spans="1:10" x14ac:dyDescent="0.25">
      <c r="A121" t="str">
        <f t="shared" si="6"/>
        <v>2001</v>
      </c>
      <c r="B121" t="str">
        <f t="shared" si="7"/>
        <v>Décembre</v>
      </c>
      <c r="C121" s="7" t="s">
        <v>791</v>
      </c>
      <c r="D121">
        <v>1348.72352941176</v>
      </c>
      <c r="E121" s="7">
        <v>84.075472426243806</v>
      </c>
      <c r="F121">
        <v>120</v>
      </c>
      <c r="G121">
        <f t="shared" si="8"/>
        <v>1669.00735894849</v>
      </c>
      <c r="H121">
        <f>(D121-G121)^2</f>
        <v>102581.73146271317</v>
      </c>
      <c r="I121">
        <f t="shared" si="9"/>
        <v>279791.91479706723</v>
      </c>
      <c r="J121">
        <f t="shared" si="10"/>
        <v>43543.074621676438</v>
      </c>
    </row>
    <row r="122" spans="1:10" x14ac:dyDescent="0.25">
      <c r="A122" t="str">
        <f t="shared" si="6"/>
        <v>2002</v>
      </c>
      <c r="B122" t="str">
        <f t="shared" si="7"/>
        <v>Janvier</v>
      </c>
      <c r="C122" s="7" t="s">
        <v>419</v>
      </c>
      <c r="D122">
        <v>1371.3636363636399</v>
      </c>
      <c r="E122" s="7">
        <v>85.486790347411997</v>
      </c>
      <c r="F122">
        <v>121</v>
      </c>
      <c r="G122">
        <f t="shared" si="8"/>
        <v>1671.506398159232</v>
      </c>
      <c r="H122">
        <f>(D122-G122)^2</f>
        <v>90085.677458285572</v>
      </c>
      <c r="I122">
        <f t="shared" si="9"/>
        <v>256353.35692216165</v>
      </c>
      <c r="J122">
        <f t="shared" si="10"/>
        <v>42506.3719235233</v>
      </c>
    </row>
    <row r="123" spans="1:10" x14ac:dyDescent="0.25">
      <c r="A123" t="str">
        <f t="shared" si="6"/>
        <v>2002</v>
      </c>
      <c r="B123" t="str">
        <f t="shared" si="7"/>
        <v>février</v>
      </c>
      <c r="C123" s="7" t="s">
        <v>453</v>
      </c>
      <c r="D123">
        <v>1371.08</v>
      </c>
      <c r="E123" s="7">
        <v>85.469109287691197</v>
      </c>
      <c r="F123">
        <v>122</v>
      </c>
      <c r="G123">
        <f t="shared" si="8"/>
        <v>1674.0054373699741</v>
      </c>
      <c r="H123">
        <f>(D123-G123)^2</f>
        <v>91763.820605790126</v>
      </c>
      <c r="I123">
        <f t="shared" si="9"/>
        <v>256640.65520986976</v>
      </c>
      <c r="J123">
        <f t="shared" si="10"/>
        <v>41482.159619323815</v>
      </c>
    </row>
    <row r="124" spans="1:10" x14ac:dyDescent="0.25">
      <c r="A124" t="str">
        <f t="shared" si="6"/>
        <v>2002</v>
      </c>
      <c r="B124" t="str">
        <f t="shared" si="7"/>
        <v>Mars</v>
      </c>
      <c r="C124" s="7" t="s">
        <v>487</v>
      </c>
      <c r="D124">
        <v>1404.9849999999999</v>
      </c>
      <c r="E124" s="7">
        <v>87.582647630019295</v>
      </c>
      <c r="F124">
        <v>123</v>
      </c>
      <c r="G124">
        <f t="shared" si="8"/>
        <v>1676.5044765807161</v>
      </c>
      <c r="H124">
        <f>(D124-G124)^2</f>
        <v>73722.826162666082</v>
      </c>
      <c r="I124">
        <f t="shared" si="9"/>
        <v>223437.85264305779</v>
      </c>
      <c r="J124">
        <f t="shared" si="10"/>
        <v>40470.437709077982</v>
      </c>
    </row>
    <row r="125" spans="1:10" x14ac:dyDescent="0.25">
      <c r="A125" t="str">
        <f t="shared" si="6"/>
        <v>2002</v>
      </c>
      <c r="B125" t="str">
        <f t="shared" si="7"/>
        <v>Avril</v>
      </c>
      <c r="C125" s="7" t="s">
        <v>521</v>
      </c>
      <c r="D125">
        <v>1370.38571428571</v>
      </c>
      <c r="E125" s="7">
        <v>85.425829550847595</v>
      </c>
      <c r="F125">
        <v>124</v>
      </c>
      <c r="G125">
        <f t="shared" si="8"/>
        <v>1679.0035157914581</v>
      </c>
      <c r="H125">
        <f>(D125-G125)^2</f>
        <v>95244.947406241306</v>
      </c>
      <c r="I125">
        <f t="shared" si="9"/>
        <v>257344.58354727019</v>
      </c>
      <c r="J125">
        <f t="shared" si="10"/>
        <v>39471.206192785801</v>
      </c>
    </row>
    <row r="126" spans="1:10" x14ac:dyDescent="0.25">
      <c r="A126" t="str">
        <f t="shared" si="6"/>
        <v>2002</v>
      </c>
      <c r="B126" t="str">
        <f t="shared" si="7"/>
        <v>Mai</v>
      </c>
      <c r="C126" s="7" t="s">
        <v>555</v>
      </c>
      <c r="D126">
        <v>1344.4272727272701</v>
      </c>
      <c r="E126" s="7">
        <v>83.807656374594998</v>
      </c>
      <c r="F126">
        <v>125</v>
      </c>
      <c r="G126">
        <f t="shared" si="8"/>
        <v>1681.5025550022003</v>
      </c>
      <c r="H126">
        <f>(D126-G126)^2</f>
        <v>113619.74592072392</v>
      </c>
      <c r="I126">
        <f t="shared" si="9"/>
        <v>284355.41352935875</v>
      </c>
      <c r="J126">
        <f t="shared" si="10"/>
        <v>38484.465070447186</v>
      </c>
    </row>
    <row r="127" spans="1:10" x14ac:dyDescent="0.25">
      <c r="A127" t="str">
        <f t="shared" si="6"/>
        <v>2002</v>
      </c>
      <c r="B127" t="str">
        <f t="shared" si="7"/>
        <v>Juin</v>
      </c>
      <c r="C127" s="7" t="s">
        <v>589</v>
      </c>
      <c r="D127">
        <v>1356.93333333333</v>
      </c>
      <c r="E127" s="7">
        <v>84.587247544109402</v>
      </c>
      <c r="F127">
        <v>126</v>
      </c>
      <c r="G127">
        <f t="shared" si="8"/>
        <v>1684.0015942129423</v>
      </c>
      <c r="H127">
        <f>(D127-G127)^2</f>
        <v>106973.64727481417</v>
      </c>
      <c r="I127">
        <f t="shared" si="9"/>
        <v>271174.10493861692</v>
      </c>
      <c r="J127">
        <f t="shared" si="10"/>
        <v>37510.214342062311</v>
      </c>
    </row>
    <row r="128" spans="1:10" x14ac:dyDescent="0.25">
      <c r="A128" t="str">
        <f t="shared" si="6"/>
        <v>2002</v>
      </c>
      <c r="B128" t="str">
        <f t="shared" si="7"/>
        <v>Juillet</v>
      </c>
      <c r="C128" s="7" t="s">
        <v>623</v>
      </c>
      <c r="D128">
        <v>1337.8652173912999</v>
      </c>
      <c r="E128" s="7">
        <v>83.398597074873706</v>
      </c>
      <c r="F128">
        <v>127</v>
      </c>
      <c r="G128">
        <f t="shared" si="8"/>
        <v>1686.5006334236843</v>
      </c>
      <c r="H128">
        <f>(D128-G128)^2</f>
        <v>121546.65331207379</v>
      </c>
      <c r="I128">
        <f t="shared" si="9"/>
        <v>291396.90428220358</v>
      </c>
      <c r="J128">
        <f t="shared" si="10"/>
        <v>36548.45400763108</v>
      </c>
    </row>
    <row r="129" spans="1:10" x14ac:dyDescent="0.25">
      <c r="A129" t="str">
        <f t="shared" si="6"/>
        <v>2002</v>
      </c>
      <c r="B129" t="str">
        <f t="shared" si="7"/>
        <v>Août</v>
      </c>
      <c r="C129" s="7" t="s">
        <v>657</v>
      </c>
      <c r="D129">
        <v>1293.3571428571399</v>
      </c>
      <c r="E129" s="7">
        <v>80.624094138104994</v>
      </c>
      <c r="F129">
        <v>128</v>
      </c>
      <c r="G129">
        <f t="shared" si="8"/>
        <v>1688.9996726344264</v>
      </c>
      <c r="H129">
        <f>(D129-G129)^2</f>
        <v>156533.01136857097</v>
      </c>
      <c r="I129">
        <f t="shared" si="9"/>
        <v>341429.85093366716</v>
      </c>
      <c r="J129">
        <f t="shared" si="10"/>
        <v>35599.18406715351</v>
      </c>
    </row>
    <row r="130" spans="1:10" x14ac:dyDescent="0.25">
      <c r="A130" t="str">
        <f t="shared" si="6"/>
        <v>2002</v>
      </c>
      <c r="B130" t="str">
        <f t="shared" si="7"/>
        <v>Septembre</v>
      </c>
      <c r="C130" s="7" t="s">
        <v>691</v>
      </c>
      <c r="D130">
        <v>1301.7</v>
      </c>
      <c r="E130" s="7">
        <v>81.144163403877002</v>
      </c>
      <c r="F130">
        <v>129</v>
      </c>
      <c r="G130">
        <f t="shared" si="8"/>
        <v>1691.4987118451684</v>
      </c>
      <c r="H130">
        <f>(D130-G130)^2</f>
        <v>151943.03575615256</v>
      </c>
      <c r="I130">
        <f t="shared" si="9"/>
        <v>331749.65779125632</v>
      </c>
      <c r="J130">
        <f t="shared" si="10"/>
        <v>34662.404520629592</v>
      </c>
    </row>
    <row r="131" spans="1:10" x14ac:dyDescent="0.25">
      <c r="A131" t="str">
        <f t="shared" ref="A131:A194" si="11">LEFT(C131,4)</f>
        <v>2002</v>
      </c>
      <c r="B131" t="str">
        <f t="shared" ref="B131:B194" si="12">MID(C131,6,10)</f>
        <v>Octobre</v>
      </c>
      <c r="C131" s="7" t="s">
        <v>725</v>
      </c>
      <c r="D131">
        <v>1311.46086956522</v>
      </c>
      <c r="E131" s="7">
        <v>81.752627408612497</v>
      </c>
      <c r="F131">
        <v>130</v>
      </c>
      <c r="G131">
        <f t="shared" ref="G131:G194" si="13">SLOPE($D$2:$D$407,$F$2:$F$407)*F131+INTERCEPT($D$2:$D$407,$F$2:$F$407)</f>
        <v>1693.9977510559104</v>
      </c>
      <c r="H131">
        <f>(D131-G131)^2</f>
        <v>146334.46570062247</v>
      </c>
      <c r="I131">
        <f t="shared" ref="I131:I194" si="14">(D131-AVERAGE($D$2:$D$407))^2</f>
        <v>320600.85702951357</v>
      </c>
      <c r="J131">
        <f t="shared" ref="J131:J194" si="15">(G131-AVERAGE($D$2:$D$407))^2</f>
        <v>33738.115368059327</v>
      </c>
    </row>
    <row r="132" spans="1:10" x14ac:dyDescent="0.25">
      <c r="A132" t="str">
        <f t="shared" si="11"/>
        <v>2002</v>
      </c>
      <c r="B132" t="str">
        <f t="shared" si="12"/>
        <v>Novembre</v>
      </c>
      <c r="C132" s="7" t="s">
        <v>759</v>
      </c>
      <c r="D132">
        <v>1373.2666666666701</v>
      </c>
      <c r="E132" s="7">
        <v>85.605419679724804</v>
      </c>
      <c r="F132">
        <v>131</v>
      </c>
      <c r="G132">
        <f t="shared" si="13"/>
        <v>1696.4967902666524</v>
      </c>
      <c r="H132">
        <f>(D132-G132)^2</f>
        <v>104477.71280245986</v>
      </c>
      <c r="I132">
        <f t="shared" si="14"/>
        <v>254429.91859245862</v>
      </c>
      <c r="J132">
        <f t="shared" si="15"/>
        <v>32826.316609442714</v>
      </c>
    </row>
    <row r="133" spans="1:10" x14ac:dyDescent="0.25">
      <c r="A133" t="str">
        <f t="shared" si="11"/>
        <v>2002</v>
      </c>
      <c r="B133" t="str">
        <f t="shared" si="12"/>
        <v>Décembre</v>
      </c>
      <c r="C133" s="7" t="s">
        <v>792</v>
      </c>
      <c r="D133">
        <v>1375.8619047619</v>
      </c>
      <c r="E133" s="7">
        <v>85.767199217307393</v>
      </c>
      <c r="F133">
        <v>132</v>
      </c>
      <c r="G133">
        <f t="shared" si="13"/>
        <v>1698.9958294773946</v>
      </c>
      <c r="H133">
        <f>(D133-G133)^2</f>
        <v>104415.53330203898</v>
      </c>
      <c r="I133">
        <f t="shared" si="14"/>
        <v>251818.52333727176</v>
      </c>
      <c r="J133">
        <f t="shared" si="15"/>
        <v>31927.008244779667</v>
      </c>
    </row>
    <row r="134" spans="1:10" x14ac:dyDescent="0.25">
      <c r="A134" t="str">
        <f t="shared" si="11"/>
        <v>2003</v>
      </c>
      <c r="B134" t="str">
        <f t="shared" si="12"/>
        <v>Janvier</v>
      </c>
      <c r="C134" s="7" t="s">
        <v>420</v>
      </c>
      <c r="D134">
        <v>1379.26818181818</v>
      </c>
      <c r="E134" s="7">
        <v>85.979536546994595</v>
      </c>
      <c r="F134">
        <v>133</v>
      </c>
      <c r="G134">
        <f t="shared" si="13"/>
        <v>1701.4948686881366</v>
      </c>
      <c r="H134">
        <f>(D134-G134)^2</f>
        <v>103830.03773118911</v>
      </c>
      <c r="I134">
        <f t="shared" si="14"/>
        <v>248411.48266346753</v>
      </c>
      <c r="J134">
        <f t="shared" si="15"/>
        <v>31040.190274070359</v>
      </c>
    </row>
    <row r="135" spans="1:10" x14ac:dyDescent="0.25">
      <c r="A135" t="str">
        <f t="shared" si="11"/>
        <v>2003</v>
      </c>
      <c r="B135" t="str">
        <f t="shared" si="12"/>
        <v>février</v>
      </c>
      <c r="C135" s="7" t="s">
        <v>454</v>
      </c>
      <c r="D135">
        <v>1421.5350000000001</v>
      </c>
      <c r="E135" s="7">
        <v>88.614326130698501</v>
      </c>
      <c r="F135">
        <v>134</v>
      </c>
      <c r="G135">
        <f t="shared" si="13"/>
        <v>1703.9939078988787</v>
      </c>
      <c r="H135">
        <f>(D135-G135)^2</f>
        <v>79783.034651427166</v>
      </c>
      <c r="I135">
        <f t="shared" si="14"/>
        <v>208065.64553925322</v>
      </c>
      <c r="J135">
        <f t="shared" si="15"/>
        <v>30165.8626973147</v>
      </c>
    </row>
    <row r="136" spans="1:10" x14ac:dyDescent="0.25">
      <c r="A136" t="str">
        <f t="shared" si="11"/>
        <v>2003</v>
      </c>
      <c r="B136" t="str">
        <f t="shared" si="12"/>
        <v>Mars</v>
      </c>
      <c r="C136" s="7" t="s">
        <v>488</v>
      </c>
      <c r="D136">
        <v>1386.5238095238101</v>
      </c>
      <c r="E136" s="7">
        <v>86.431831115745595</v>
      </c>
      <c r="F136">
        <v>135</v>
      </c>
      <c r="G136">
        <f t="shared" si="13"/>
        <v>1706.4929471096207</v>
      </c>
      <c r="H136">
        <f>(D136-G136)^2</f>
        <v>102380.24900740739</v>
      </c>
      <c r="I136">
        <f t="shared" si="14"/>
        <v>241231.587206353</v>
      </c>
      <c r="J136">
        <f t="shared" si="15"/>
        <v>29304.025514512698</v>
      </c>
    </row>
    <row r="137" spans="1:10" x14ac:dyDescent="0.25">
      <c r="A137" t="str">
        <f t="shared" si="11"/>
        <v>2003</v>
      </c>
      <c r="B137" t="str">
        <f t="shared" si="12"/>
        <v>Avril</v>
      </c>
      <c r="C137" s="7" t="s">
        <v>522</v>
      </c>
      <c r="D137">
        <v>1334.29</v>
      </c>
      <c r="E137" s="7">
        <v>83.175728499776497</v>
      </c>
      <c r="F137">
        <v>136</v>
      </c>
      <c r="G137">
        <f t="shared" si="13"/>
        <v>1708.9919863203627</v>
      </c>
      <c r="H137">
        <f>(D137-G137)^2</f>
        <v>140401.57855242529</v>
      </c>
      <c r="I137">
        <f t="shared" si="14"/>
        <v>295269.57635935396</v>
      </c>
      <c r="J137">
        <f t="shared" si="15"/>
        <v>28454.678725664344</v>
      </c>
    </row>
    <row r="138" spans="1:10" x14ac:dyDescent="0.25">
      <c r="A138" t="str">
        <f t="shared" si="11"/>
        <v>2003</v>
      </c>
      <c r="B138" t="str">
        <f t="shared" si="12"/>
        <v>Mai</v>
      </c>
      <c r="C138" s="7" t="s">
        <v>556</v>
      </c>
      <c r="D138">
        <v>1400.3975</v>
      </c>
      <c r="E138" s="7">
        <v>87.296676323562096</v>
      </c>
      <c r="F138">
        <v>137</v>
      </c>
      <c r="G138">
        <f t="shared" si="13"/>
        <v>1711.4910255311047</v>
      </c>
      <c r="H138">
        <f>(D138-G138)^2</f>
        <v>96779.181627372061</v>
      </c>
      <c r="I138">
        <f t="shared" si="14"/>
        <v>227795.84811999969</v>
      </c>
      <c r="J138">
        <f t="shared" si="15"/>
        <v>27617.822330769643</v>
      </c>
    </row>
    <row r="139" spans="1:10" x14ac:dyDescent="0.25">
      <c r="A139" t="str">
        <f t="shared" si="11"/>
        <v>2003</v>
      </c>
      <c r="B139" t="str">
        <f t="shared" si="12"/>
        <v>Juin</v>
      </c>
      <c r="C139" s="7" t="s">
        <v>590</v>
      </c>
      <c r="D139">
        <v>1410.5166666666701</v>
      </c>
      <c r="E139" s="7">
        <v>87.927475519622007</v>
      </c>
      <c r="F139">
        <v>138</v>
      </c>
      <c r="G139">
        <f t="shared" si="13"/>
        <v>1713.9900647418467</v>
      </c>
      <c r="H139">
        <f>(D139-G139)^2</f>
        <v>92096.103339294626</v>
      </c>
      <c r="I139">
        <f t="shared" si="14"/>
        <v>218238.90134723947</v>
      </c>
      <c r="J139">
        <f t="shared" si="15"/>
        <v>26793.456329828594</v>
      </c>
    </row>
    <row r="140" spans="1:10" x14ac:dyDescent="0.25">
      <c r="A140" t="str">
        <f t="shared" si="11"/>
        <v>2003</v>
      </c>
      <c r="B140" t="str">
        <f t="shared" si="12"/>
        <v>Juillet</v>
      </c>
      <c r="C140" s="7" t="s">
        <v>624</v>
      </c>
      <c r="D140">
        <v>1440.8804347826101</v>
      </c>
      <c r="E140" s="7">
        <v>89.820263843780694</v>
      </c>
      <c r="F140">
        <v>139</v>
      </c>
      <c r="G140">
        <f t="shared" si="13"/>
        <v>1716.4891039525887</v>
      </c>
      <c r="H140">
        <f>(D140-G140)^2</f>
        <v>75960.138521646717</v>
      </c>
      <c r="I140">
        <f t="shared" si="14"/>
        <v>190791.35561331868</v>
      </c>
      <c r="J140">
        <f t="shared" si="15"/>
        <v>25981.580722841198</v>
      </c>
    </row>
    <row r="141" spans="1:10" x14ac:dyDescent="0.25">
      <c r="A141" t="str">
        <f t="shared" si="11"/>
        <v>2003</v>
      </c>
      <c r="B141" t="str">
        <f t="shared" si="12"/>
        <v>Août</v>
      </c>
      <c r="C141" s="7" t="s">
        <v>658</v>
      </c>
      <c r="D141">
        <v>1457.2249999999999</v>
      </c>
      <c r="E141" s="7">
        <v>90.8391361421331</v>
      </c>
      <c r="F141">
        <v>140</v>
      </c>
      <c r="G141">
        <f t="shared" si="13"/>
        <v>1718.9881431633307</v>
      </c>
      <c r="H141">
        <f>(D141-G141)^2</f>
        <v>68519.943118746422</v>
      </c>
      <c r="I141">
        <f t="shared" si="14"/>
        <v>176779.99618246913</v>
      </c>
      <c r="J141">
        <f t="shared" si="15"/>
        <v>25182.19550980745</v>
      </c>
    </row>
    <row r="142" spans="1:10" x14ac:dyDescent="0.25">
      <c r="A142" t="str">
        <f t="shared" si="11"/>
        <v>2003</v>
      </c>
      <c r="B142" t="str">
        <f t="shared" si="12"/>
        <v>Septembre</v>
      </c>
      <c r="C142" s="7" t="s">
        <v>692</v>
      </c>
      <c r="D142">
        <v>1416.5772727272699</v>
      </c>
      <c r="E142" s="7">
        <v>88.305275941000403</v>
      </c>
      <c r="F142">
        <v>141</v>
      </c>
      <c r="G142">
        <f t="shared" si="13"/>
        <v>1721.4871823740727</v>
      </c>
      <c r="H142">
        <f>(D142-G142)^2</f>
        <v>92970.053000821455</v>
      </c>
      <c r="I142">
        <f t="shared" si="14"/>
        <v>212613.08118544548</v>
      </c>
      <c r="J142">
        <f t="shared" si="15"/>
        <v>24395.300690727359</v>
      </c>
    </row>
    <row r="143" spans="1:10" x14ac:dyDescent="0.25">
      <c r="A143" t="str">
        <f t="shared" si="11"/>
        <v>2003</v>
      </c>
      <c r="B143" t="str">
        <f t="shared" si="12"/>
        <v>Octobre</v>
      </c>
      <c r="C143" s="7" t="s">
        <v>726</v>
      </c>
      <c r="D143">
        <v>1477.22391304348</v>
      </c>
      <c r="E143" s="7">
        <v>92.085809774997799</v>
      </c>
      <c r="F143">
        <v>142</v>
      </c>
      <c r="G143">
        <f t="shared" si="13"/>
        <v>1723.986221584815</v>
      </c>
      <c r="H143">
        <f>(D143-G143)^2</f>
        <v>60891.636916648989</v>
      </c>
      <c r="I143">
        <f t="shared" si="14"/>
        <v>160362.78140994642</v>
      </c>
      <c r="J143">
        <f t="shared" si="15"/>
        <v>23620.896265600848</v>
      </c>
    </row>
    <row r="144" spans="1:10" x14ac:dyDescent="0.25">
      <c r="A144" t="str">
        <f t="shared" si="11"/>
        <v>2003</v>
      </c>
      <c r="B144" t="str">
        <f t="shared" si="12"/>
        <v>Novembre</v>
      </c>
      <c r="C144" s="7" t="s">
        <v>760</v>
      </c>
      <c r="D144">
        <v>1511.585</v>
      </c>
      <c r="E144" s="7">
        <v>94.227779241645095</v>
      </c>
      <c r="F144">
        <v>143</v>
      </c>
      <c r="G144">
        <f t="shared" si="13"/>
        <v>1726.485260795557</v>
      </c>
      <c r="H144">
        <f>(D144-G144)^2</f>
        <v>46182.122089998396</v>
      </c>
      <c r="I144">
        <f t="shared" si="14"/>
        <v>134023.44987776768</v>
      </c>
      <c r="J144">
        <f t="shared" si="15"/>
        <v>22858.982234428062</v>
      </c>
    </row>
    <row r="145" spans="1:10" x14ac:dyDescent="0.25">
      <c r="A145" t="str">
        <f t="shared" si="11"/>
        <v>2003</v>
      </c>
      <c r="B145" t="str">
        <f t="shared" si="12"/>
        <v>Décembre</v>
      </c>
      <c r="C145" s="7" t="s">
        <v>793</v>
      </c>
      <c r="D145">
        <v>1557.7785714285701</v>
      </c>
      <c r="E145" s="7">
        <v>97.107351115509005</v>
      </c>
      <c r="F145">
        <v>144</v>
      </c>
      <c r="G145">
        <f t="shared" si="13"/>
        <v>1728.984300006299</v>
      </c>
      <c r="H145">
        <f>(D145-G145)^2</f>
        <v>29311.401497830979</v>
      </c>
      <c r="I145">
        <f t="shared" si="14"/>
        <v>102335.0897245489</v>
      </c>
      <c r="J145">
        <f t="shared" si="15"/>
        <v>22109.558597208928</v>
      </c>
    </row>
    <row r="146" spans="1:10" x14ac:dyDescent="0.25">
      <c r="A146" t="str">
        <f t="shared" si="11"/>
        <v>2004</v>
      </c>
      <c r="B146" t="str">
        <f t="shared" si="12"/>
        <v>Janvier</v>
      </c>
      <c r="C146" s="7" t="s">
        <v>421</v>
      </c>
      <c r="D146">
        <v>1608.8928571428601</v>
      </c>
      <c r="E146" s="7">
        <v>100.293665897926</v>
      </c>
      <c r="F146">
        <v>145</v>
      </c>
      <c r="G146">
        <f t="shared" si="13"/>
        <v>1731.483339217041</v>
      </c>
      <c r="H146">
        <f>(D146-G146)^2</f>
        <v>15028.426295180081</v>
      </c>
      <c r="I146">
        <f t="shared" si="14"/>
        <v>72244.986972479761</v>
      </c>
      <c r="J146">
        <f t="shared" si="15"/>
        <v>21372.625353943444</v>
      </c>
    </row>
    <row r="147" spans="1:10" x14ac:dyDescent="0.25">
      <c r="A147" t="str">
        <f t="shared" si="11"/>
        <v>2004</v>
      </c>
      <c r="B147" t="str">
        <f t="shared" si="12"/>
        <v>février</v>
      </c>
      <c r="C147" s="7" t="s">
        <v>455</v>
      </c>
      <c r="D147">
        <v>1685.2249999999999</v>
      </c>
      <c r="E147" s="7">
        <v>105.051987994391</v>
      </c>
      <c r="F147">
        <v>146</v>
      </c>
      <c r="G147">
        <f t="shared" si="13"/>
        <v>1733.982378427783</v>
      </c>
      <c r="H147">
        <f>(D147-G147)^2</f>
        <v>2377.2819511500511</v>
      </c>
      <c r="I147">
        <f t="shared" si="14"/>
        <v>37037.823513743744</v>
      </c>
      <c r="J147">
        <f t="shared" si="15"/>
        <v>20648.182504631615</v>
      </c>
    </row>
    <row r="148" spans="1:10" x14ac:dyDescent="0.25">
      <c r="A148" t="str">
        <f t="shared" si="11"/>
        <v>2004</v>
      </c>
      <c r="B148" t="str">
        <f t="shared" si="12"/>
        <v>Mars</v>
      </c>
      <c r="C148" s="7" t="s">
        <v>489</v>
      </c>
      <c r="D148">
        <v>1657.3543478260899</v>
      </c>
      <c r="E148" s="7">
        <v>103.31461321205001</v>
      </c>
      <c r="F148">
        <v>147</v>
      </c>
      <c r="G148">
        <f t="shared" si="13"/>
        <v>1736.481417638525</v>
      </c>
      <c r="H148">
        <f>(D148-G148)^2</f>
        <v>6261.0931771019841</v>
      </c>
      <c r="I148">
        <f t="shared" si="14"/>
        <v>48542.129686816421</v>
      </c>
      <c r="J148">
        <f t="shared" si="15"/>
        <v>19936.230049273436</v>
      </c>
    </row>
    <row r="149" spans="1:10" x14ac:dyDescent="0.25">
      <c r="A149" t="str">
        <f t="shared" si="11"/>
        <v>2004</v>
      </c>
      <c r="B149" t="str">
        <f t="shared" si="12"/>
        <v>Avril</v>
      </c>
      <c r="C149" s="7" t="s">
        <v>523</v>
      </c>
      <c r="D149">
        <v>1731.68</v>
      </c>
      <c r="E149" s="7">
        <v>107.947856559288</v>
      </c>
      <c r="F149">
        <v>148</v>
      </c>
      <c r="G149">
        <f t="shared" si="13"/>
        <v>1738.9804568492671</v>
      </c>
      <c r="H149">
        <f>(D149-G149)^2</f>
        <v>53.296670208009353</v>
      </c>
      <c r="I149">
        <f t="shared" si="14"/>
        <v>21315.162857490905</v>
      </c>
      <c r="J149">
        <f t="shared" si="15"/>
        <v>19236.767987868909</v>
      </c>
    </row>
    <row r="150" spans="1:10" x14ac:dyDescent="0.25">
      <c r="A150" t="str">
        <f t="shared" si="11"/>
        <v>2004</v>
      </c>
      <c r="B150" t="str">
        <f t="shared" si="12"/>
        <v>Mai</v>
      </c>
      <c r="C150" s="7" t="s">
        <v>557</v>
      </c>
      <c r="D150">
        <v>1625.25</v>
      </c>
      <c r="E150" s="7">
        <v>101.313322249482</v>
      </c>
      <c r="F150">
        <v>149</v>
      </c>
      <c r="G150">
        <f t="shared" si="13"/>
        <v>1741.4794960600093</v>
      </c>
      <c r="H150">
        <f>(D150-G150)^2</f>
        <v>13509.295754363717</v>
      </c>
      <c r="I150">
        <f t="shared" si="14"/>
        <v>63719.457497545474</v>
      </c>
      <c r="J150">
        <f t="shared" si="15"/>
        <v>18549.796320417972</v>
      </c>
    </row>
    <row r="151" spans="1:10" x14ac:dyDescent="0.25">
      <c r="A151" t="str">
        <f t="shared" si="11"/>
        <v>2004</v>
      </c>
      <c r="B151" t="str">
        <f t="shared" si="12"/>
        <v>Juin</v>
      </c>
      <c r="C151" s="7" t="s">
        <v>591</v>
      </c>
      <c r="D151">
        <v>1682.0295454545501</v>
      </c>
      <c r="E151" s="7">
        <v>104.85279272221899</v>
      </c>
      <c r="F151">
        <v>150</v>
      </c>
      <c r="G151">
        <f t="shared" si="13"/>
        <v>1743.9785352707513</v>
      </c>
      <c r="H151">
        <f>(D151-G151)^2</f>
        <v>3837.6773392478026</v>
      </c>
      <c r="I151">
        <f t="shared" si="14"/>
        <v>38277.978530138978</v>
      </c>
      <c r="J151">
        <f t="shared" si="15"/>
        <v>17875.31504692075</v>
      </c>
    </row>
    <row r="152" spans="1:10" x14ac:dyDescent="0.25">
      <c r="A152" t="str">
        <f t="shared" si="11"/>
        <v>2004</v>
      </c>
      <c r="B152" t="str">
        <f t="shared" si="12"/>
        <v>Juillet</v>
      </c>
      <c r="C152" s="7" t="s">
        <v>625</v>
      </c>
      <c r="D152">
        <v>1707.8409090909099</v>
      </c>
      <c r="E152" s="7">
        <v>106.46179749181699</v>
      </c>
      <c r="F152">
        <v>151</v>
      </c>
      <c r="G152">
        <f t="shared" si="13"/>
        <v>1746.4775744814933</v>
      </c>
      <c r="H152">
        <f>(D152-G152)^2</f>
        <v>1492.7919125039052</v>
      </c>
      <c r="I152">
        <f t="shared" si="14"/>
        <v>28844.342967136803</v>
      </c>
      <c r="J152">
        <f t="shared" si="15"/>
        <v>17213.324167377181</v>
      </c>
    </row>
    <row r="153" spans="1:10" x14ac:dyDescent="0.25">
      <c r="A153" t="str">
        <f t="shared" si="11"/>
        <v>2004</v>
      </c>
      <c r="B153" t="str">
        <f t="shared" si="12"/>
        <v>Août</v>
      </c>
      <c r="C153" s="7" t="s">
        <v>659</v>
      </c>
      <c r="D153">
        <v>1692.07142857143</v>
      </c>
      <c r="E153" s="7">
        <v>105.478774288263</v>
      </c>
      <c r="F153">
        <v>152</v>
      </c>
      <c r="G153">
        <f t="shared" si="13"/>
        <v>1748.9766136922353</v>
      </c>
      <c r="H153">
        <f>(D153-G153)^2</f>
        <v>3238.200093633121</v>
      </c>
      <c r="I153">
        <f t="shared" si="14"/>
        <v>34449.477533297351</v>
      </c>
      <c r="J153">
        <f t="shared" si="15"/>
        <v>16563.823681787264</v>
      </c>
    </row>
    <row r="154" spans="1:10" x14ac:dyDescent="0.25">
      <c r="A154" t="str">
        <f t="shared" si="11"/>
        <v>2004</v>
      </c>
      <c r="B154" t="str">
        <f t="shared" si="12"/>
        <v>Septembre</v>
      </c>
      <c r="C154" s="7" t="s">
        <v>693</v>
      </c>
      <c r="D154">
        <v>1731</v>
      </c>
      <c r="E154" s="7">
        <v>107.90546735201001</v>
      </c>
      <c r="F154">
        <v>153</v>
      </c>
      <c r="G154">
        <f t="shared" si="13"/>
        <v>1751.4756529029773</v>
      </c>
      <c r="H154">
        <f>(D154-G154)^2</f>
        <v>419.25236180320456</v>
      </c>
      <c r="I154">
        <f t="shared" si="14"/>
        <v>21514.181358432736</v>
      </c>
      <c r="J154">
        <f t="shared" si="15"/>
        <v>15926.813590151</v>
      </c>
    </row>
    <row r="155" spans="1:10" x14ac:dyDescent="0.25">
      <c r="A155" t="str">
        <f t="shared" si="11"/>
        <v>2004</v>
      </c>
      <c r="B155" t="str">
        <f t="shared" si="12"/>
        <v>Octobre</v>
      </c>
      <c r="C155" s="7" t="s">
        <v>727</v>
      </c>
      <c r="D155">
        <v>1830.3571428571399</v>
      </c>
      <c r="E155" s="7">
        <v>114.099100474344</v>
      </c>
      <c r="F155">
        <v>154</v>
      </c>
      <c r="G155">
        <f t="shared" si="13"/>
        <v>1753.9746921137194</v>
      </c>
      <c r="H155">
        <f>(D155-G155)^2</f>
        <v>5834.2787815710708</v>
      </c>
      <c r="I155">
        <f t="shared" si="14"/>
        <v>2239.1814714217912</v>
      </c>
      <c r="J155">
        <f t="shared" si="15"/>
        <v>15302.293892468388</v>
      </c>
    </row>
    <row r="156" spans="1:10" x14ac:dyDescent="0.25">
      <c r="A156" t="str">
        <f t="shared" si="11"/>
        <v>2004</v>
      </c>
      <c r="B156" t="str">
        <f t="shared" si="12"/>
        <v>Novembre</v>
      </c>
      <c r="C156" s="7" t="s">
        <v>761</v>
      </c>
      <c r="D156">
        <v>1817.3409090909099</v>
      </c>
      <c r="E156" s="7">
        <v>113.287706605073</v>
      </c>
      <c r="F156">
        <v>155</v>
      </c>
      <c r="G156">
        <f t="shared" si="13"/>
        <v>1756.4737313244614</v>
      </c>
      <c r="H156">
        <f>(D156-G156)^2</f>
        <v>3704.8133292524485</v>
      </c>
      <c r="I156">
        <f t="shared" si="14"/>
        <v>3640.4599210924548</v>
      </c>
      <c r="J156">
        <f t="shared" si="15"/>
        <v>14690.264588739426</v>
      </c>
    </row>
    <row r="157" spans="1:10" x14ac:dyDescent="0.25">
      <c r="A157" t="str">
        <f t="shared" si="11"/>
        <v>2004</v>
      </c>
      <c r="B157" t="str">
        <f t="shared" si="12"/>
        <v>Décembre</v>
      </c>
      <c r="C157" s="7" t="s">
        <v>794</v>
      </c>
      <c r="D157">
        <v>1852.9095238095199</v>
      </c>
      <c r="E157" s="7">
        <v>115.50494981378201</v>
      </c>
      <c r="F157">
        <v>156</v>
      </c>
      <c r="G157">
        <f t="shared" si="13"/>
        <v>1758.9727705352034</v>
      </c>
      <c r="H157">
        <f>(D157-G157)^2</f>
        <v>8824.1136157198143</v>
      </c>
      <c r="I157">
        <f t="shared" si="14"/>
        <v>613.434467263746</v>
      </c>
      <c r="J157">
        <f t="shared" si="15"/>
        <v>14090.725678964118</v>
      </c>
    </row>
    <row r="158" spans="1:10" x14ac:dyDescent="0.25">
      <c r="A158" t="str">
        <f t="shared" si="11"/>
        <v>2005</v>
      </c>
      <c r="B158" t="str">
        <f t="shared" si="12"/>
        <v>Janvier</v>
      </c>
      <c r="C158" s="7" t="s">
        <v>422</v>
      </c>
      <c r="D158">
        <v>1836.175</v>
      </c>
      <c r="E158" s="7">
        <v>114.461768639559</v>
      </c>
      <c r="F158">
        <v>157</v>
      </c>
      <c r="G158">
        <f t="shared" si="13"/>
        <v>1761.4718097459454</v>
      </c>
      <c r="H158">
        <f>(D158-G158)^2</f>
        <v>5580.5666341334727</v>
      </c>
      <c r="I158">
        <f t="shared" si="14"/>
        <v>1722.4270473222632</v>
      </c>
      <c r="J158">
        <f t="shared" si="15"/>
        <v>13503.677163142462</v>
      </c>
    </row>
    <row r="159" spans="1:10" x14ac:dyDescent="0.25">
      <c r="A159" t="str">
        <f t="shared" si="11"/>
        <v>2005</v>
      </c>
      <c r="B159" t="str">
        <f t="shared" si="12"/>
        <v>février</v>
      </c>
      <c r="C159" s="7" t="s">
        <v>456</v>
      </c>
      <c r="D159">
        <v>1882.7750000000001</v>
      </c>
      <c r="E159" s="7">
        <v>117.366676079538</v>
      </c>
      <c r="F159">
        <v>158</v>
      </c>
      <c r="G159">
        <f t="shared" si="13"/>
        <v>1763.9708489566874</v>
      </c>
      <c r="H159">
        <f>(D159-G159)^2</f>
        <v>14114.426305122255</v>
      </c>
      <c r="I159">
        <f t="shared" si="14"/>
        <v>25.988247486290572</v>
      </c>
      <c r="J159">
        <f t="shared" si="15"/>
        <v>12929.119041274458</v>
      </c>
    </row>
    <row r="160" spans="1:10" x14ac:dyDescent="0.25">
      <c r="A160" t="str">
        <f t="shared" si="11"/>
        <v>2005</v>
      </c>
      <c r="B160" t="str">
        <f t="shared" si="12"/>
        <v>Mars</v>
      </c>
      <c r="C160" s="7" t="s">
        <v>490</v>
      </c>
      <c r="D160">
        <v>1987.5</v>
      </c>
      <c r="E160" s="7">
        <v>123.8949256858</v>
      </c>
      <c r="F160">
        <v>159</v>
      </c>
      <c r="G160">
        <f t="shared" si="13"/>
        <v>1766.4698881674296</v>
      </c>
      <c r="H160">
        <f>(D160-G160)^2</f>
        <v>48854.310336718561</v>
      </c>
      <c r="I160">
        <f t="shared" si="14"/>
        <v>12061.06210611672</v>
      </c>
      <c r="J160">
        <f t="shared" si="15"/>
        <v>12367.051313360056</v>
      </c>
    </row>
    <row r="161" spans="1:10" x14ac:dyDescent="0.25">
      <c r="A161" t="str">
        <f t="shared" si="11"/>
        <v>2005</v>
      </c>
      <c r="B161" t="str">
        <f t="shared" si="12"/>
        <v>Avril</v>
      </c>
      <c r="C161" s="7" t="s">
        <v>524</v>
      </c>
      <c r="D161">
        <v>1891.9880952381</v>
      </c>
      <c r="E161" s="7">
        <v>117.940993437958</v>
      </c>
      <c r="F161">
        <v>160</v>
      </c>
      <c r="G161">
        <f t="shared" si="13"/>
        <v>1768.9689273781717</v>
      </c>
      <c r="H161">
        <f>(D161-G161)^2</f>
        <v>15133.715660949216</v>
      </c>
      <c r="I161">
        <f t="shared" si="14"/>
        <v>204.80363887944739</v>
      </c>
      <c r="J161">
        <f t="shared" si="15"/>
        <v>11817.473979399356</v>
      </c>
    </row>
    <row r="162" spans="1:10" x14ac:dyDescent="0.25">
      <c r="A162" t="str">
        <f t="shared" si="11"/>
        <v>2005</v>
      </c>
      <c r="B162" t="str">
        <f t="shared" si="12"/>
        <v>Mai</v>
      </c>
      <c r="C162" s="7" t="s">
        <v>558</v>
      </c>
      <c r="D162">
        <v>1741.45</v>
      </c>
      <c r="E162" s="7">
        <v>108.556889728572</v>
      </c>
      <c r="F162">
        <v>161</v>
      </c>
      <c r="G162">
        <f t="shared" si="13"/>
        <v>1771.4679665889137</v>
      </c>
      <c r="H162">
        <f>(D162-G162)^2</f>
        <v>901.07831813313453</v>
      </c>
      <c r="I162">
        <f t="shared" si="14"/>
        <v>18557.831777782809</v>
      </c>
      <c r="J162">
        <f t="shared" si="15"/>
        <v>11280.38703939231</v>
      </c>
    </row>
    <row r="163" spans="1:10" x14ac:dyDescent="0.25">
      <c r="A163" t="str">
        <f t="shared" si="11"/>
        <v>2005</v>
      </c>
      <c r="B163" t="str">
        <f t="shared" si="12"/>
        <v>Juin</v>
      </c>
      <c r="C163" s="7" t="s">
        <v>592</v>
      </c>
      <c r="D163">
        <v>1731.9431818181799</v>
      </c>
      <c r="E163" s="7">
        <v>107.96426254258699</v>
      </c>
      <c r="F163">
        <v>162</v>
      </c>
      <c r="G163">
        <f t="shared" si="13"/>
        <v>1773.9670057996557</v>
      </c>
      <c r="H163">
        <f>(D163-G163)^2</f>
        <v>1766.0017820260557</v>
      </c>
      <c r="I163">
        <f t="shared" si="14"/>
        <v>21238.384540312421</v>
      </c>
      <c r="J163">
        <f t="shared" si="15"/>
        <v>10755.790493338915</v>
      </c>
    </row>
    <row r="164" spans="1:10" x14ac:dyDescent="0.25">
      <c r="A164" t="str">
        <f t="shared" si="11"/>
        <v>2005</v>
      </c>
      <c r="B164" t="str">
        <f t="shared" si="12"/>
        <v>Juillet</v>
      </c>
      <c r="C164" s="7" t="s">
        <v>626</v>
      </c>
      <c r="D164">
        <v>1783.2619047619</v>
      </c>
      <c r="E164" s="7">
        <v>111.163321342789</v>
      </c>
      <c r="F164">
        <v>163</v>
      </c>
      <c r="G164">
        <f t="shared" si="13"/>
        <v>1776.4660450103977</v>
      </c>
      <c r="H164">
        <f>(D164-G164)^2</f>
        <v>46.183709762089563</v>
      </c>
      <c r="I164">
        <f t="shared" si="14"/>
        <v>8914.2353318349124</v>
      </c>
      <c r="J164">
        <f t="shared" si="15"/>
        <v>10243.684341239174</v>
      </c>
    </row>
    <row r="165" spans="1:10" x14ac:dyDescent="0.25">
      <c r="A165" t="str">
        <f t="shared" si="11"/>
        <v>2005</v>
      </c>
      <c r="B165" t="str">
        <f t="shared" si="12"/>
        <v>Août</v>
      </c>
      <c r="C165" s="7" t="s">
        <v>660</v>
      </c>
      <c r="D165">
        <v>1871.27272727273</v>
      </c>
      <c r="E165" s="7">
        <v>116.64965810481399</v>
      </c>
      <c r="F165">
        <v>164</v>
      </c>
      <c r="G165">
        <f t="shared" si="13"/>
        <v>1778.9650842211397</v>
      </c>
      <c r="H165">
        <f>(D165-G165)^2</f>
        <v>8520.700965739803</v>
      </c>
      <c r="I165">
        <f t="shared" si="14"/>
        <v>41.016413301653593</v>
      </c>
      <c r="J165">
        <f t="shared" si="15"/>
        <v>9744.0685830930815</v>
      </c>
    </row>
    <row r="166" spans="1:10" x14ac:dyDescent="0.25">
      <c r="A166" t="str">
        <f t="shared" si="11"/>
        <v>2005</v>
      </c>
      <c r="B166" t="str">
        <f t="shared" si="12"/>
        <v>Septembre</v>
      </c>
      <c r="C166" s="7" t="s">
        <v>694</v>
      </c>
      <c r="D166">
        <v>1837.6931818181799</v>
      </c>
      <c r="E166" s="7">
        <v>114.55640764511401</v>
      </c>
      <c r="F166">
        <v>165</v>
      </c>
      <c r="G166">
        <f t="shared" si="13"/>
        <v>1781.4641234318817</v>
      </c>
      <c r="H166">
        <f>(D166-G166)^2</f>
        <v>3161.7070070097343</v>
      </c>
      <c r="I166">
        <f t="shared" si="14"/>
        <v>1598.7163557447366</v>
      </c>
      <c r="J166">
        <f t="shared" si="15"/>
        <v>9256.9432189006438</v>
      </c>
    </row>
    <row r="167" spans="1:10" x14ac:dyDescent="0.25">
      <c r="A167" t="str">
        <f t="shared" si="11"/>
        <v>2005</v>
      </c>
      <c r="B167" t="str">
        <f t="shared" si="12"/>
        <v>Octobre</v>
      </c>
      <c r="C167" s="7" t="s">
        <v>728</v>
      </c>
      <c r="D167">
        <v>1934.1428571428601</v>
      </c>
      <c r="E167" s="7">
        <v>120.56879776172801</v>
      </c>
      <c r="F167">
        <v>166</v>
      </c>
      <c r="G167">
        <f t="shared" si="13"/>
        <v>1783.963162642624</v>
      </c>
      <c r="H167">
        <f>(D167-G167)^2</f>
        <v>22553.94064018425</v>
      </c>
      <c r="I167">
        <f t="shared" si="14"/>
        <v>3188.3779978447997</v>
      </c>
      <c r="J167">
        <f t="shared" si="15"/>
        <v>8782.308248661815</v>
      </c>
    </row>
    <row r="168" spans="1:10" x14ac:dyDescent="0.25">
      <c r="A168" t="str">
        <f t="shared" si="11"/>
        <v>2005</v>
      </c>
      <c r="B168" t="str">
        <f t="shared" si="12"/>
        <v>Novembre</v>
      </c>
      <c r="C168" s="7" t="s">
        <v>762</v>
      </c>
      <c r="D168">
        <v>2056.9704545454501</v>
      </c>
      <c r="E168" s="7">
        <v>128.22551024090299</v>
      </c>
      <c r="F168">
        <v>167</v>
      </c>
      <c r="G168">
        <f t="shared" si="13"/>
        <v>1786.462201853366</v>
      </c>
      <c r="H168">
        <f>(D168-G168)^2</f>
        <v>73174.714774524458</v>
      </c>
      <c r="I168">
        <f t="shared" si="14"/>
        <v>32146.095134502299</v>
      </c>
      <c r="J168">
        <f t="shared" si="15"/>
        <v>8320.1636723766824</v>
      </c>
    </row>
    <row r="169" spans="1:10" x14ac:dyDescent="0.25">
      <c r="A169" t="str">
        <f t="shared" si="11"/>
        <v>2005</v>
      </c>
      <c r="B169" t="str">
        <f t="shared" si="12"/>
        <v>Décembre</v>
      </c>
      <c r="C169" s="7" t="s">
        <v>795</v>
      </c>
      <c r="D169">
        <v>2250.9</v>
      </c>
      <c r="E169" s="7">
        <v>140.31450979932899</v>
      </c>
      <c r="F169">
        <v>168</v>
      </c>
      <c r="G169">
        <f t="shared" si="13"/>
        <v>1788.961241064108</v>
      </c>
      <c r="H169">
        <f>(D169-G169)^2</f>
        <v>213387.41700723223</v>
      </c>
      <c r="I169">
        <f t="shared" si="14"/>
        <v>139295.30841777357</v>
      </c>
      <c r="J169">
        <f t="shared" si="15"/>
        <v>7870.5094900452013</v>
      </c>
    </row>
    <row r="170" spans="1:10" x14ac:dyDescent="0.25">
      <c r="A170" t="str">
        <f t="shared" si="11"/>
        <v>2006</v>
      </c>
      <c r="B170" t="str">
        <f t="shared" si="12"/>
        <v>Janvier</v>
      </c>
      <c r="C170" s="7" t="s">
        <v>423</v>
      </c>
      <c r="D170">
        <v>2383.3023809523802</v>
      </c>
      <c r="E170" s="7">
        <v>148.568086226357</v>
      </c>
      <c r="F170">
        <v>169</v>
      </c>
      <c r="G170">
        <f t="shared" si="13"/>
        <v>1791.46028027485</v>
      </c>
      <c r="H170">
        <f>(D170-G170)^2</f>
        <v>350277.07213439181</v>
      </c>
      <c r="I170">
        <f t="shared" si="14"/>
        <v>255656.8913209443</v>
      </c>
      <c r="J170">
        <f t="shared" si="15"/>
        <v>7433.3457016673729</v>
      </c>
    </row>
    <row r="171" spans="1:10" x14ac:dyDescent="0.25">
      <c r="A171" t="str">
        <f t="shared" si="11"/>
        <v>2006</v>
      </c>
      <c r="B171" t="str">
        <f t="shared" si="12"/>
        <v>février</v>
      </c>
      <c r="C171" s="7" t="s">
        <v>457</v>
      </c>
      <c r="D171">
        <v>2453.375</v>
      </c>
      <c r="E171" s="7">
        <v>152.93620795189901</v>
      </c>
      <c r="F171">
        <v>170</v>
      </c>
      <c r="G171">
        <f t="shared" si="13"/>
        <v>1793.959319485592</v>
      </c>
      <c r="H171">
        <f>(D171-G171)^2</f>
        <v>434829.03970827977</v>
      </c>
      <c r="I171">
        <f t="shared" si="14"/>
        <v>331428.03401601838</v>
      </c>
      <c r="J171">
        <f t="shared" si="15"/>
        <v>7008.6723072431969</v>
      </c>
    </row>
    <row r="172" spans="1:10" x14ac:dyDescent="0.25">
      <c r="A172" t="str">
        <f t="shared" si="11"/>
        <v>2006</v>
      </c>
      <c r="B172" t="str">
        <f t="shared" si="12"/>
        <v>Mars</v>
      </c>
      <c r="C172" s="7" t="s">
        <v>491</v>
      </c>
      <c r="D172">
        <v>2432.47826086957</v>
      </c>
      <c r="E172" s="7">
        <v>151.633566471828</v>
      </c>
      <c r="F172">
        <v>171</v>
      </c>
      <c r="G172">
        <f t="shared" si="13"/>
        <v>1796.458358696334</v>
      </c>
      <c r="H172">
        <f>(D172-G172)^2</f>
        <v>404521.31596045272</v>
      </c>
      <c r="I172">
        <f t="shared" si="14"/>
        <v>307804.29143491521</v>
      </c>
      <c r="J172">
        <f t="shared" si="15"/>
        <v>6596.4893067726725</v>
      </c>
    </row>
    <row r="173" spans="1:10" x14ac:dyDescent="0.25">
      <c r="A173" t="str">
        <f t="shared" si="11"/>
        <v>2006</v>
      </c>
      <c r="B173" t="str">
        <f t="shared" si="12"/>
        <v>Avril</v>
      </c>
      <c r="C173" s="7" t="s">
        <v>525</v>
      </c>
      <c r="D173">
        <v>2623.8583333333299</v>
      </c>
      <c r="E173" s="7">
        <v>163.56363935517001</v>
      </c>
      <c r="F173">
        <v>172</v>
      </c>
      <c r="G173">
        <f t="shared" si="13"/>
        <v>1798.957397907076</v>
      </c>
      <c r="H173">
        <f>(D173-G173)^2</f>
        <v>680461.55326710874</v>
      </c>
      <c r="I173">
        <f t="shared" si="14"/>
        <v>556786.38366306073</v>
      </c>
      <c r="J173">
        <f t="shared" si="15"/>
        <v>6196.7967002557998</v>
      </c>
    </row>
    <row r="174" spans="1:10" x14ac:dyDescent="0.25">
      <c r="A174" t="str">
        <f t="shared" si="11"/>
        <v>2006</v>
      </c>
      <c r="B174" t="str">
        <f t="shared" si="12"/>
        <v>Mai</v>
      </c>
      <c r="C174" s="7" t="s">
        <v>559</v>
      </c>
      <c r="D174">
        <v>2852.0714285714298</v>
      </c>
      <c r="E174" s="7">
        <v>177.78977494010101</v>
      </c>
      <c r="F174">
        <v>173</v>
      </c>
      <c r="G174">
        <f t="shared" si="13"/>
        <v>1801.456437117818</v>
      </c>
      <c r="H174">
        <f>(D174-G174)^2</f>
        <v>1103791.8602670727</v>
      </c>
      <c r="I174">
        <f t="shared" si="14"/>
        <v>949444.24315356987</v>
      </c>
      <c r="J174">
        <f t="shared" si="15"/>
        <v>5809.5944876925796</v>
      </c>
    </row>
    <row r="175" spans="1:10" x14ac:dyDescent="0.25">
      <c r="A175" t="str">
        <f t="shared" si="11"/>
        <v>2006</v>
      </c>
      <c r="B175" t="str">
        <f t="shared" si="12"/>
        <v>Juin</v>
      </c>
      <c r="C175" s="7" t="s">
        <v>593</v>
      </c>
      <c r="D175">
        <v>2490.95454545455</v>
      </c>
      <c r="E175" s="7">
        <v>155.278806689709</v>
      </c>
      <c r="F175">
        <v>174</v>
      </c>
      <c r="G175">
        <f t="shared" si="13"/>
        <v>1803.9554763285601</v>
      </c>
      <c r="H175">
        <f>(D175-G175)^2</f>
        <v>471967.72097997676</v>
      </c>
      <c r="I175">
        <f t="shared" si="14"/>
        <v>376109.18457120098</v>
      </c>
      <c r="J175">
        <f t="shared" si="15"/>
        <v>5434.8826690830119</v>
      </c>
    </row>
    <row r="176" spans="1:10" x14ac:dyDescent="0.25">
      <c r="A176" t="str">
        <f t="shared" si="11"/>
        <v>2006</v>
      </c>
      <c r="B176" t="str">
        <f t="shared" si="12"/>
        <v>Juillet</v>
      </c>
      <c r="C176" s="7" t="s">
        <v>627</v>
      </c>
      <c r="D176">
        <v>2511.8333333333298</v>
      </c>
      <c r="E176" s="7">
        <v>156.580329141357</v>
      </c>
      <c r="F176">
        <v>175</v>
      </c>
      <c r="G176">
        <f t="shared" si="13"/>
        <v>1806.4545155393021</v>
      </c>
      <c r="H176">
        <f>(D176-G176)^2</f>
        <v>497559.27659250022</v>
      </c>
      <c r="I176">
        <f t="shared" si="14"/>
        <v>402154.08636356116</v>
      </c>
      <c r="J176">
        <f t="shared" si="15"/>
        <v>5072.6612444270959</v>
      </c>
    </row>
    <row r="177" spans="1:10" x14ac:dyDescent="0.25">
      <c r="A177" t="str">
        <f t="shared" si="11"/>
        <v>2006</v>
      </c>
      <c r="B177" t="str">
        <f t="shared" si="12"/>
        <v>Août</v>
      </c>
      <c r="C177" s="7" t="s">
        <v>661</v>
      </c>
      <c r="D177">
        <v>2461.5522727272701</v>
      </c>
      <c r="E177" s="7">
        <v>153.44595517044399</v>
      </c>
      <c r="F177">
        <v>176</v>
      </c>
      <c r="G177">
        <f t="shared" si="13"/>
        <v>1808.9535547500441</v>
      </c>
      <c r="H177">
        <f>(D177-G177)^2</f>
        <v>425885.08670551894</v>
      </c>
      <c r="I177">
        <f t="shared" si="14"/>
        <v>340910.17873846454</v>
      </c>
      <c r="J177">
        <f t="shared" si="15"/>
        <v>4722.9302137248314</v>
      </c>
    </row>
    <row r="178" spans="1:10" x14ac:dyDescent="0.25">
      <c r="A178" t="str">
        <f t="shared" si="11"/>
        <v>2006</v>
      </c>
      <c r="B178" t="str">
        <f t="shared" si="12"/>
        <v>Septembre</v>
      </c>
      <c r="C178" s="7" t="s">
        <v>695</v>
      </c>
      <c r="D178">
        <v>2484.38095238095</v>
      </c>
      <c r="E178" s="7">
        <v>154.86902816123501</v>
      </c>
      <c r="F178">
        <v>177</v>
      </c>
      <c r="G178">
        <f t="shared" si="13"/>
        <v>1811.4525939607863</v>
      </c>
      <c r="H178">
        <f>(D178-G178)^2</f>
        <v>452832.5755660563</v>
      </c>
      <c r="I178">
        <f t="shared" si="14"/>
        <v>368089.52439628268</v>
      </c>
      <c r="J178">
        <f t="shared" si="15"/>
        <v>4385.6895769761904</v>
      </c>
    </row>
    <row r="179" spans="1:10" x14ac:dyDescent="0.25">
      <c r="A179" t="str">
        <f t="shared" si="11"/>
        <v>2006</v>
      </c>
      <c r="B179" t="str">
        <f t="shared" si="12"/>
        <v>Octobre</v>
      </c>
      <c r="C179" s="7" t="s">
        <v>729</v>
      </c>
      <c r="D179">
        <v>2657.1477272727302</v>
      </c>
      <c r="E179" s="7">
        <v>165.63880261969601</v>
      </c>
      <c r="F179">
        <v>178</v>
      </c>
      <c r="G179">
        <f t="shared" si="13"/>
        <v>1813.9516331715283</v>
      </c>
      <c r="H179">
        <f>(D179-G179)^2</f>
        <v>710979.65310752287</v>
      </c>
      <c r="I179">
        <f t="shared" si="14"/>
        <v>607574.4072650288</v>
      </c>
      <c r="J179">
        <f t="shared" si="15"/>
        <v>4060.9393341812315</v>
      </c>
    </row>
    <row r="180" spans="1:10" x14ac:dyDescent="0.25">
      <c r="A180" t="str">
        <f t="shared" si="11"/>
        <v>2006</v>
      </c>
      <c r="B180" t="str">
        <f t="shared" si="12"/>
        <v>Novembre</v>
      </c>
      <c r="C180" s="7" t="s">
        <v>763</v>
      </c>
      <c r="D180">
        <v>2702.1363636363599</v>
      </c>
      <c r="E180" s="7">
        <v>168.44326237264099</v>
      </c>
      <c r="F180">
        <v>179</v>
      </c>
      <c r="G180">
        <f t="shared" si="13"/>
        <v>1816.4506723822703</v>
      </c>
      <c r="H180">
        <f>(D180-G180)^2</f>
        <v>784439.14369223441</v>
      </c>
      <c r="I180">
        <f t="shared" si="14"/>
        <v>679733.02290655463</v>
      </c>
      <c r="J180">
        <f t="shared" si="15"/>
        <v>3748.6794853399251</v>
      </c>
    </row>
    <row r="181" spans="1:10" x14ac:dyDescent="0.25">
      <c r="A181" t="str">
        <f t="shared" si="11"/>
        <v>2006</v>
      </c>
      <c r="B181" t="str">
        <f t="shared" si="12"/>
        <v>Décembre</v>
      </c>
      <c r="C181" s="7" t="s">
        <v>796</v>
      </c>
      <c r="D181">
        <v>2823.6710526315801</v>
      </c>
      <c r="E181" s="7">
        <v>176.01937873053299</v>
      </c>
      <c r="F181">
        <v>180</v>
      </c>
      <c r="G181">
        <f t="shared" si="13"/>
        <v>1818.9497115930124</v>
      </c>
      <c r="H181">
        <f>(D181-G181)^2</f>
        <v>1009464.973138338</v>
      </c>
      <c r="I181">
        <f t="shared" si="14"/>
        <v>894904.49589392892</v>
      </c>
      <c r="J181">
        <f t="shared" si="15"/>
        <v>3448.9100304522708</v>
      </c>
    </row>
    <row r="182" spans="1:10" x14ac:dyDescent="0.25">
      <c r="A182" t="str">
        <f t="shared" si="11"/>
        <v>2007</v>
      </c>
      <c r="B182" t="str">
        <f t="shared" si="12"/>
        <v>Janvier</v>
      </c>
      <c r="C182" s="7" t="s">
        <v>424</v>
      </c>
      <c r="D182">
        <v>2799.0590909090902</v>
      </c>
      <c r="E182" s="7">
        <v>174.48514116143099</v>
      </c>
      <c r="F182">
        <v>181</v>
      </c>
      <c r="G182">
        <f t="shared" si="13"/>
        <v>1821.4487508037544</v>
      </c>
      <c r="H182">
        <f>(D182-G182)^2</f>
        <v>955721.9770808703</v>
      </c>
      <c r="I182">
        <f t="shared" si="14"/>
        <v>848944.71227663418</v>
      </c>
      <c r="J182">
        <f t="shared" si="15"/>
        <v>3161.630969518269</v>
      </c>
    </row>
    <row r="183" spans="1:10" x14ac:dyDescent="0.25">
      <c r="A183" t="str">
        <f t="shared" si="11"/>
        <v>2007</v>
      </c>
      <c r="B183" t="str">
        <f t="shared" si="12"/>
        <v>février</v>
      </c>
      <c r="C183" s="7" t="s">
        <v>458</v>
      </c>
      <c r="D183">
        <v>2839.05</v>
      </c>
      <c r="E183" s="7">
        <v>176.97805724189701</v>
      </c>
      <c r="F183">
        <v>182</v>
      </c>
      <c r="G183">
        <f t="shared" si="13"/>
        <v>1823.9477900144964</v>
      </c>
      <c r="H183">
        <f>(D183-G183)^2</f>
        <v>1030432.4967174538</v>
      </c>
      <c r="I183">
        <f t="shared" si="14"/>
        <v>924237.78931641066</v>
      </c>
      <c r="J183">
        <f t="shared" si="15"/>
        <v>2886.8423025379188</v>
      </c>
    </row>
    <row r="184" spans="1:10" x14ac:dyDescent="0.25">
      <c r="A184" t="str">
        <f t="shared" si="11"/>
        <v>2007</v>
      </c>
      <c r="B184" t="str">
        <f t="shared" si="12"/>
        <v>Mars</v>
      </c>
      <c r="C184" s="7" t="s">
        <v>492</v>
      </c>
      <c r="D184">
        <v>2757.07954545455</v>
      </c>
      <c r="E184" s="7">
        <v>171.86825931769999</v>
      </c>
      <c r="F184">
        <v>183</v>
      </c>
      <c r="G184">
        <f t="shared" si="13"/>
        <v>1826.4468292252386</v>
      </c>
      <c r="H184">
        <f>(D184-G184)^2</f>
        <v>866077.25251634605</v>
      </c>
      <c r="I184">
        <f t="shared" si="14"/>
        <v>773348.60295094433</v>
      </c>
      <c r="J184">
        <f t="shared" si="15"/>
        <v>2624.5440295111976</v>
      </c>
    </row>
    <row r="185" spans="1:10" x14ac:dyDescent="0.25">
      <c r="A185" t="str">
        <f t="shared" si="11"/>
        <v>2007</v>
      </c>
      <c r="B185" t="str">
        <f t="shared" si="12"/>
        <v>Avril</v>
      </c>
      <c r="C185" s="7" t="s">
        <v>526</v>
      </c>
      <c r="D185">
        <v>2817.0526315789498</v>
      </c>
      <c r="E185" s="7">
        <v>175.60680575721301</v>
      </c>
      <c r="F185">
        <v>184</v>
      </c>
      <c r="G185">
        <f t="shared" si="13"/>
        <v>1828.9458684359806</v>
      </c>
      <c r="H185">
        <f>(D185-G185)^2</f>
        <v>976354.97536887578</v>
      </c>
      <c r="I185">
        <f t="shared" si="14"/>
        <v>882426.3272450607</v>
      </c>
      <c r="J185">
        <f t="shared" si="15"/>
        <v>2374.7361504381529</v>
      </c>
    </row>
    <row r="186" spans="1:10" x14ac:dyDescent="0.25">
      <c r="A186" t="str">
        <f t="shared" si="11"/>
        <v>2007</v>
      </c>
      <c r="B186" t="str">
        <f t="shared" si="12"/>
        <v>Mai</v>
      </c>
      <c r="C186" s="7" t="s">
        <v>560</v>
      </c>
      <c r="D186">
        <v>2804.6047619047599</v>
      </c>
      <c r="E186" s="7">
        <v>174.830842039864</v>
      </c>
      <c r="F186">
        <v>185</v>
      </c>
      <c r="G186">
        <f t="shared" si="13"/>
        <v>1831.4449076467226</v>
      </c>
      <c r="H186">
        <f>(D186-G186)^2</f>
        <v>947040.10193952441</v>
      </c>
      <c r="I186">
        <f t="shared" si="14"/>
        <v>859194.82914274198</v>
      </c>
      <c r="J186">
        <f t="shared" si="15"/>
        <v>2137.4186653187608</v>
      </c>
    </row>
    <row r="187" spans="1:10" x14ac:dyDescent="0.25">
      <c r="A187" t="str">
        <f t="shared" si="11"/>
        <v>2007</v>
      </c>
      <c r="B187" t="str">
        <f t="shared" si="12"/>
        <v>Juin</v>
      </c>
      <c r="C187" s="7" t="s">
        <v>594</v>
      </c>
      <c r="D187">
        <v>2681.3095238095202</v>
      </c>
      <c r="E187" s="7">
        <v>167.14497821031901</v>
      </c>
      <c r="F187">
        <v>186</v>
      </c>
      <c r="G187">
        <f t="shared" si="13"/>
        <v>1833.9439468574647</v>
      </c>
      <c r="H187">
        <f>(D187-G187)^2</f>
        <v>718028.42100328999</v>
      </c>
      <c r="I187">
        <f t="shared" si="14"/>
        <v>645825.01948517468</v>
      </c>
      <c r="J187">
        <f t="shared" si="15"/>
        <v>1912.5915741530202</v>
      </c>
    </row>
    <row r="188" spans="1:10" x14ac:dyDescent="0.25">
      <c r="A188" t="str">
        <f t="shared" si="11"/>
        <v>2007</v>
      </c>
      <c r="B188" t="str">
        <f t="shared" si="12"/>
        <v>Juillet</v>
      </c>
      <c r="C188" s="7" t="s">
        <v>628</v>
      </c>
      <c r="D188">
        <v>2738.0909090909099</v>
      </c>
      <c r="E188" s="7">
        <v>170.684563372469</v>
      </c>
      <c r="F188">
        <v>187</v>
      </c>
      <c r="G188">
        <f t="shared" si="13"/>
        <v>1836.4429860682067</v>
      </c>
      <c r="H188">
        <f>(D188-G188)^2</f>
        <v>812968.97709115467</v>
      </c>
      <c r="I188">
        <f t="shared" si="14"/>
        <v>740311.86600880628</v>
      </c>
      <c r="J188">
        <f t="shared" si="15"/>
        <v>1700.254876940932</v>
      </c>
    </row>
    <row r="189" spans="1:10" x14ac:dyDescent="0.25">
      <c r="A189" t="str">
        <f t="shared" si="11"/>
        <v>2007</v>
      </c>
      <c r="B189" t="str">
        <f t="shared" si="12"/>
        <v>Août</v>
      </c>
      <c r="C189" s="7" t="s">
        <v>662</v>
      </c>
      <c r="D189">
        <v>2512.6022727272698</v>
      </c>
      <c r="E189" s="7">
        <v>156.62826256982001</v>
      </c>
      <c r="F189">
        <v>188</v>
      </c>
      <c r="G189">
        <f t="shared" si="13"/>
        <v>1838.9420252789487</v>
      </c>
      <c r="H189">
        <f>(D189-G189)^2</f>
        <v>453818.12899213325</v>
      </c>
      <c r="I189">
        <f t="shared" si="14"/>
        <v>403129.93299997796</v>
      </c>
      <c r="J189">
        <f t="shared" si="15"/>
        <v>1500.4085736824959</v>
      </c>
    </row>
    <row r="190" spans="1:10" x14ac:dyDescent="0.25">
      <c r="A190" t="str">
        <f t="shared" si="11"/>
        <v>2007</v>
      </c>
      <c r="B190" t="str">
        <f t="shared" si="12"/>
        <v>Septembre</v>
      </c>
      <c r="C190" s="7" t="s">
        <v>696</v>
      </c>
      <c r="D190">
        <v>2394.9625000000001</v>
      </c>
      <c r="E190" s="7">
        <v>149.29494387812699</v>
      </c>
      <c r="F190">
        <v>189</v>
      </c>
      <c r="G190">
        <f t="shared" si="13"/>
        <v>1841.4410644896907</v>
      </c>
      <c r="H190">
        <f>(D190-G190)^2</f>
        <v>306385.97956939362</v>
      </c>
      <c r="I190">
        <f t="shared" si="14"/>
        <v>267584.15086530324</v>
      </c>
      <c r="J190">
        <f t="shared" si="15"/>
        <v>1313.0526643777118</v>
      </c>
    </row>
    <row r="191" spans="1:10" x14ac:dyDescent="0.25">
      <c r="A191" t="str">
        <f t="shared" si="11"/>
        <v>2007</v>
      </c>
      <c r="B191" t="str">
        <f t="shared" si="12"/>
        <v>Octobre</v>
      </c>
      <c r="C191" s="7" t="s">
        <v>730</v>
      </c>
      <c r="D191">
        <v>2444.5326086956502</v>
      </c>
      <c r="E191" s="7">
        <v>152.38499919037099</v>
      </c>
      <c r="F191">
        <v>190</v>
      </c>
      <c r="G191">
        <f t="shared" si="13"/>
        <v>1843.9401037004327</v>
      </c>
      <c r="H191">
        <f>(D191-G191)^2</f>
        <v>360711.35705643037</v>
      </c>
      <c r="I191">
        <f t="shared" si="14"/>
        <v>321325.13027461432</v>
      </c>
      <c r="J191">
        <f t="shared" si="15"/>
        <v>1138.1871490265798</v>
      </c>
    </row>
    <row r="192" spans="1:10" x14ac:dyDescent="0.25">
      <c r="A192" t="str">
        <f t="shared" si="11"/>
        <v>2007</v>
      </c>
      <c r="B192" t="str">
        <f t="shared" si="12"/>
        <v>Novembre</v>
      </c>
      <c r="C192" s="7" t="s">
        <v>764</v>
      </c>
      <c r="D192">
        <v>2507.15227272727</v>
      </c>
      <c r="E192" s="7">
        <v>156.28852554089499</v>
      </c>
      <c r="F192">
        <v>191</v>
      </c>
      <c r="G192">
        <f t="shared" si="13"/>
        <v>1846.4391429111747</v>
      </c>
      <c r="H192">
        <f>(D192-G192)^2</f>
        <v>436541.83991138038</v>
      </c>
      <c r="I192">
        <f t="shared" si="14"/>
        <v>396238.95147744636</v>
      </c>
      <c r="J192">
        <f t="shared" si="15"/>
        <v>975.81202762910004</v>
      </c>
    </row>
    <row r="193" spans="1:10" x14ac:dyDescent="0.25">
      <c r="A193" t="str">
        <f t="shared" si="11"/>
        <v>2007</v>
      </c>
      <c r="B193" t="str">
        <f t="shared" si="12"/>
        <v>Décembre</v>
      </c>
      <c r="C193" s="7" t="s">
        <v>797</v>
      </c>
      <c r="D193">
        <v>2382.8333333333298</v>
      </c>
      <c r="E193" s="7">
        <v>148.53884717231699</v>
      </c>
      <c r="F193">
        <v>192</v>
      </c>
      <c r="G193">
        <f t="shared" si="13"/>
        <v>1848.9381821219167</v>
      </c>
      <c r="H193">
        <f>(D193-G193)^2</f>
        <v>285044.03248705767</v>
      </c>
      <c r="I193">
        <f t="shared" si="14"/>
        <v>255182.78668928824</v>
      </c>
      <c r="J193">
        <f t="shared" si="15"/>
        <v>825.92730018527243</v>
      </c>
    </row>
    <row r="194" spans="1:10" x14ac:dyDescent="0.25">
      <c r="A194" t="str">
        <f t="shared" si="11"/>
        <v>2008</v>
      </c>
      <c r="B194" t="str">
        <f t="shared" si="12"/>
        <v>Janvier</v>
      </c>
      <c r="C194" s="7" t="s">
        <v>425</v>
      </c>
      <c r="D194">
        <v>2456.125</v>
      </c>
      <c r="E194" s="7">
        <v>153.107634893099</v>
      </c>
      <c r="F194">
        <v>193</v>
      </c>
      <c r="G194">
        <f t="shared" si="13"/>
        <v>1851.4372213326587</v>
      </c>
      <c r="H194">
        <f>(D194-G194)^2</f>
        <v>365647.30966964352</v>
      </c>
      <c r="I194">
        <f t="shared" si="14"/>
        <v>334601.93478426844</v>
      </c>
      <c r="J194">
        <f t="shared" si="15"/>
        <v>688.53296669509677</v>
      </c>
    </row>
    <row r="195" spans="1:10" x14ac:dyDescent="0.25">
      <c r="A195" t="str">
        <f t="shared" ref="A195:A258" si="16">LEFT(C195,4)</f>
        <v>2008</v>
      </c>
      <c r="B195" t="str">
        <f t="shared" ref="B195:B258" si="17">MID(C195,6,10)</f>
        <v>février</v>
      </c>
      <c r="C195" s="7" t="s">
        <v>459</v>
      </c>
      <c r="D195">
        <v>2784.8928571428601</v>
      </c>
      <c r="E195" s="7">
        <v>173.602059662203</v>
      </c>
      <c r="F195">
        <v>194</v>
      </c>
      <c r="G195">
        <f t="shared" ref="G195:G258" si="18">SLOPE($D$2:$D$407,$F$2:$F$407)*F195+INTERCEPT($D$2:$D$407,$F$2:$F$407)</f>
        <v>1853.936260543401</v>
      </c>
      <c r="H195">
        <f>(D195-G195)^2</f>
        <v>866680.18475204799</v>
      </c>
      <c r="I195">
        <f t="shared" ref="I195:I258" si="19">(D195-AVERAGE($D$2:$D$407))^2</f>
        <v>823040.37004958745</v>
      </c>
      <c r="J195">
        <f t="shared" ref="J195:J258" si="20">(G195-AVERAGE($D$2:$D$407))^2</f>
        <v>563.62902715856262</v>
      </c>
    </row>
    <row r="196" spans="1:10" x14ac:dyDescent="0.25">
      <c r="A196" t="str">
        <f t="shared" si="16"/>
        <v>2008</v>
      </c>
      <c r="B196" t="str">
        <f t="shared" si="17"/>
        <v>Mars</v>
      </c>
      <c r="C196" s="7" t="s">
        <v>493</v>
      </c>
      <c r="D196">
        <v>3012.0526315789498</v>
      </c>
      <c r="E196" s="7">
        <v>187.76253431506501</v>
      </c>
      <c r="F196">
        <v>195</v>
      </c>
      <c r="G196">
        <f t="shared" si="18"/>
        <v>1856.435299754143</v>
      </c>
      <c r="H196">
        <f>(D196-G196)^2</f>
        <v>1335451.4176138856</v>
      </c>
      <c r="I196">
        <f t="shared" si="19"/>
        <v>1286807.7716731254</v>
      </c>
      <c r="J196">
        <f t="shared" si="20"/>
        <v>451.21548157569242</v>
      </c>
    </row>
    <row r="197" spans="1:10" x14ac:dyDescent="0.25">
      <c r="A197" t="str">
        <f t="shared" si="16"/>
        <v>2008</v>
      </c>
      <c r="B197" t="str">
        <f t="shared" si="17"/>
        <v>Avril</v>
      </c>
      <c r="C197" s="7" t="s">
        <v>527</v>
      </c>
      <c r="D197">
        <v>2968.0340909090901</v>
      </c>
      <c r="E197" s="7">
        <v>185.018547484831</v>
      </c>
      <c r="F197">
        <v>196</v>
      </c>
      <c r="G197">
        <f t="shared" si="18"/>
        <v>1858.934338964885</v>
      </c>
      <c r="H197">
        <f>(D197-G197)^2</f>
        <v>1230102.2597626972</v>
      </c>
      <c r="I197">
        <f t="shared" si="19"/>
        <v>1188878.295561651</v>
      </c>
      <c r="J197">
        <f t="shared" si="20"/>
        <v>351.2923299464743</v>
      </c>
    </row>
    <row r="198" spans="1:10" x14ac:dyDescent="0.25">
      <c r="A198" t="str">
        <f t="shared" si="16"/>
        <v>2008</v>
      </c>
      <c r="B198" t="str">
        <f t="shared" si="17"/>
        <v>Mai</v>
      </c>
      <c r="C198" s="7" t="s">
        <v>561</v>
      </c>
      <c r="D198">
        <v>2908.2775000000001</v>
      </c>
      <c r="E198" s="7">
        <v>181.29349672260801</v>
      </c>
      <c r="F198">
        <v>197</v>
      </c>
      <c r="G198">
        <f t="shared" si="18"/>
        <v>1861.433378175627</v>
      </c>
      <c r="H198">
        <f>(D198-G198)^2</f>
        <v>1095882.6153982431</v>
      </c>
      <c r="I198">
        <f t="shared" si="19"/>
        <v>1062137.1163668528</v>
      </c>
      <c r="J198">
        <f t="shared" si="20"/>
        <v>263.85957227090836</v>
      </c>
    </row>
    <row r="199" spans="1:10" x14ac:dyDescent="0.25">
      <c r="A199" t="str">
        <f t="shared" si="16"/>
        <v>2008</v>
      </c>
      <c r="B199" t="str">
        <f t="shared" si="17"/>
        <v>Juin</v>
      </c>
      <c r="C199" s="7" t="s">
        <v>595</v>
      </c>
      <c r="D199">
        <v>2967.86904761905</v>
      </c>
      <c r="E199" s="7">
        <v>185.00825916978499</v>
      </c>
      <c r="F199">
        <v>198</v>
      </c>
      <c r="G199">
        <f t="shared" si="18"/>
        <v>1863.932417386369</v>
      </c>
      <c r="H199">
        <f>(D199-G199)^2</f>
        <v>1218676.0835694869</v>
      </c>
      <c r="I199">
        <f t="shared" si="19"/>
        <v>1188518.4106016508</v>
      </c>
      <c r="J199">
        <f t="shared" si="20"/>
        <v>188.91720854899452</v>
      </c>
    </row>
    <row r="200" spans="1:10" x14ac:dyDescent="0.25">
      <c r="A200" t="str">
        <f t="shared" si="16"/>
        <v>2008</v>
      </c>
      <c r="B200" t="str">
        <f t="shared" si="17"/>
        <v>Juillet</v>
      </c>
      <c r="C200" s="7" t="s">
        <v>629</v>
      </c>
      <c r="D200">
        <v>3067.45652173913</v>
      </c>
      <c r="E200" s="7">
        <v>191.216250468071</v>
      </c>
      <c r="F200">
        <v>199</v>
      </c>
      <c r="G200">
        <f t="shared" si="18"/>
        <v>1866.431456597111</v>
      </c>
      <c r="H200">
        <f>(D200-G200)^2</f>
        <v>1442461.2070993909</v>
      </c>
      <c r="I200">
        <f t="shared" si="19"/>
        <v>1415574.9937603062</v>
      </c>
      <c r="J200">
        <f t="shared" si="20"/>
        <v>126.4652387807328</v>
      </c>
    </row>
    <row r="201" spans="1:10" x14ac:dyDescent="0.25">
      <c r="A201" t="str">
        <f t="shared" si="16"/>
        <v>2008</v>
      </c>
      <c r="B201" t="str">
        <f t="shared" si="17"/>
        <v>Août</v>
      </c>
      <c r="C201" s="7" t="s">
        <v>663</v>
      </c>
      <c r="D201">
        <v>2762.56</v>
      </c>
      <c r="E201" s="7">
        <v>172.209894793742</v>
      </c>
      <c r="F201">
        <v>200</v>
      </c>
      <c r="G201">
        <f t="shared" si="18"/>
        <v>1868.9304958078533</v>
      </c>
      <c r="H201">
        <f>(D201-G201)^2</f>
        <v>798573.69076270191</v>
      </c>
      <c r="I201">
        <f t="shared" si="19"/>
        <v>783017.68822970323</v>
      </c>
      <c r="J201">
        <f t="shared" si="20"/>
        <v>76.503662966119222</v>
      </c>
    </row>
    <row r="202" spans="1:10" x14ac:dyDescent="0.25">
      <c r="A202" t="str">
        <f t="shared" si="16"/>
        <v>2008</v>
      </c>
      <c r="B202" t="str">
        <f t="shared" si="17"/>
        <v>Septembre</v>
      </c>
      <c r="C202" s="7" t="s">
        <v>697</v>
      </c>
      <c r="D202">
        <v>2524.1477272727302</v>
      </c>
      <c r="E202" s="7">
        <v>157.347972372546</v>
      </c>
      <c r="F202">
        <v>201</v>
      </c>
      <c r="G202">
        <f t="shared" si="18"/>
        <v>1871.4295350185953</v>
      </c>
      <c r="H202">
        <f>(D202-G202)^2</f>
        <v>426041.03849950584</v>
      </c>
      <c r="I202">
        <f t="shared" si="19"/>
        <v>417924.22920057236</v>
      </c>
      <c r="J202">
        <f t="shared" si="20"/>
        <v>39.032481105162866</v>
      </c>
    </row>
    <row r="203" spans="1:10" x14ac:dyDescent="0.25">
      <c r="A203" t="str">
        <f t="shared" si="16"/>
        <v>2008</v>
      </c>
      <c r="B203" t="str">
        <f t="shared" si="17"/>
        <v>Octobre</v>
      </c>
      <c r="C203" s="7" t="s">
        <v>731</v>
      </c>
      <c r="D203">
        <v>2122.0282608695702</v>
      </c>
      <c r="E203" s="7">
        <v>132.281023237032</v>
      </c>
      <c r="F203">
        <v>202</v>
      </c>
      <c r="G203">
        <f t="shared" si="18"/>
        <v>1873.9285742293373</v>
      </c>
      <c r="H203">
        <f>(D203-G203)^2</f>
        <v>61553.454510981763</v>
      </c>
      <c r="I203">
        <f t="shared" si="19"/>
        <v>59707.473668919374</v>
      </c>
      <c r="J203">
        <f t="shared" si="20"/>
        <v>14.051693197858633</v>
      </c>
    </row>
    <row r="204" spans="1:10" x14ac:dyDescent="0.25">
      <c r="A204" t="str">
        <f t="shared" si="16"/>
        <v>2008</v>
      </c>
      <c r="B204" t="str">
        <f t="shared" si="17"/>
        <v>Novembre</v>
      </c>
      <c r="C204" s="7" t="s">
        <v>765</v>
      </c>
      <c r="D204">
        <v>1857.13</v>
      </c>
      <c r="E204" s="7">
        <v>115.768041931507</v>
      </c>
      <c r="F204">
        <v>203</v>
      </c>
      <c r="G204">
        <f t="shared" si="18"/>
        <v>1876.4276134400793</v>
      </c>
      <c r="H204">
        <f>(D204-G204)^2</f>
        <v>372.39788448272549</v>
      </c>
      <c r="I204">
        <f t="shared" si="19"/>
        <v>422.18467638743198</v>
      </c>
      <c r="J204">
        <f t="shared" si="20"/>
        <v>1.5612992442065146</v>
      </c>
    </row>
    <row r="205" spans="1:10" x14ac:dyDescent="0.25">
      <c r="A205" t="str">
        <f t="shared" si="16"/>
        <v>2008</v>
      </c>
      <c r="B205" t="str">
        <f t="shared" si="17"/>
        <v>Décembre</v>
      </c>
      <c r="C205" s="7" t="s">
        <v>798</v>
      </c>
      <c r="D205">
        <v>1504.4166666666699</v>
      </c>
      <c r="E205" s="7">
        <v>93.780926348249196</v>
      </c>
      <c r="F205">
        <v>204</v>
      </c>
      <c r="G205">
        <f t="shared" si="18"/>
        <v>1878.9266526508213</v>
      </c>
      <c r="H205">
        <f>(D205-G205)^2</f>
        <v>140257.72960184928</v>
      </c>
      <c r="I205">
        <f t="shared" si="19"/>
        <v>139323.37576130466</v>
      </c>
      <c r="J205">
        <f t="shared" si="20"/>
        <v>1.5612992442065146</v>
      </c>
    </row>
    <row r="206" spans="1:10" x14ac:dyDescent="0.25">
      <c r="A206" t="str">
        <f t="shared" si="16"/>
        <v>2009</v>
      </c>
      <c r="B206" t="str">
        <f t="shared" si="17"/>
        <v>Janvier</v>
      </c>
      <c r="C206" s="7" t="s">
        <v>426</v>
      </c>
      <c r="D206">
        <v>1420.3595238095199</v>
      </c>
      <c r="E206" s="7">
        <v>88.541050389684997</v>
      </c>
      <c r="F206">
        <v>205</v>
      </c>
      <c r="G206">
        <f t="shared" si="18"/>
        <v>1881.4256918615633</v>
      </c>
      <c r="H206">
        <f>(D206-G206)^2</f>
        <v>212582.01132219512</v>
      </c>
      <c r="I206">
        <f t="shared" si="19"/>
        <v>209139.39571726712</v>
      </c>
      <c r="J206">
        <f t="shared" si="20"/>
        <v>14.051693197858633</v>
      </c>
    </row>
    <row r="207" spans="1:10" x14ac:dyDescent="0.25">
      <c r="A207" t="str">
        <f t="shared" si="16"/>
        <v>2009</v>
      </c>
      <c r="B207" t="str">
        <f t="shared" si="17"/>
        <v>février</v>
      </c>
      <c r="C207" s="7" t="s">
        <v>460</v>
      </c>
      <c r="D207">
        <v>1338.0625</v>
      </c>
      <c r="E207" s="7">
        <v>83.410895094568801</v>
      </c>
      <c r="F207">
        <v>206</v>
      </c>
      <c r="G207">
        <f t="shared" si="18"/>
        <v>1883.9247310723053</v>
      </c>
      <c r="H207">
        <f>(D207-G207)^2</f>
        <v>297965.57531123486</v>
      </c>
      <c r="I207">
        <f t="shared" si="19"/>
        <v>291183.95219677599</v>
      </c>
      <c r="J207">
        <f t="shared" si="20"/>
        <v>39.032481105162866</v>
      </c>
    </row>
    <row r="208" spans="1:10" x14ac:dyDescent="0.25">
      <c r="A208" t="str">
        <f t="shared" si="16"/>
        <v>2009</v>
      </c>
      <c r="B208" t="str">
        <f t="shared" si="17"/>
        <v>Mars</v>
      </c>
      <c r="C208" s="7" t="s">
        <v>494</v>
      </c>
      <c r="D208">
        <v>1338.07954545455</v>
      </c>
      <c r="E208" s="7">
        <v>83.411957658253897</v>
      </c>
      <c r="F208">
        <v>207</v>
      </c>
      <c r="G208">
        <f t="shared" si="18"/>
        <v>1886.4237702830474</v>
      </c>
      <c r="H208">
        <f>(D208-G208)^2</f>
        <v>300681.38890276564</v>
      </c>
      <c r="I208">
        <f t="shared" si="19"/>
        <v>291165.5565339193</v>
      </c>
      <c r="J208">
        <f t="shared" si="20"/>
        <v>76.503662966119222</v>
      </c>
    </row>
    <row r="209" spans="1:10" x14ac:dyDescent="0.25">
      <c r="A209" t="str">
        <f t="shared" si="16"/>
        <v>2009</v>
      </c>
      <c r="B209" t="str">
        <f t="shared" si="17"/>
        <v>Avril</v>
      </c>
      <c r="C209" s="7" t="s">
        <v>528</v>
      </c>
      <c r="D209">
        <v>1431.8125</v>
      </c>
      <c r="E209" s="7">
        <v>89.254995362766905</v>
      </c>
      <c r="F209">
        <v>208</v>
      </c>
      <c r="G209">
        <f t="shared" si="18"/>
        <v>1888.9228094937894</v>
      </c>
      <c r="H209">
        <f>(D209-G209)^2</f>
        <v>208949.83504550791</v>
      </c>
      <c r="I209">
        <f t="shared" si="19"/>
        <v>198795.27100075406</v>
      </c>
      <c r="J209">
        <f t="shared" si="20"/>
        <v>126.46523878072769</v>
      </c>
    </row>
    <row r="210" spans="1:10" x14ac:dyDescent="0.25">
      <c r="A210" t="str">
        <f t="shared" si="16"/>
        <v>2009</v>
      </c>
      <c r="B210" t="str">
        <f t="shared" si="17"/>
        <v>Mai</v>
      </c>
      <c r="C210" s="7" t="s">
        <v>562</v>
      </c>
      <c r="D210">
        <v>1466.6710526315801</v>
      </c>
      <c r="E210" s="7">
        <v>91.427975381787704</v>
      </c>
      <c r="F210">
        <v>209</v>
      </c>
      <c r="G210">
        <f t="shared" si="18"/>
        <v>1891.4218487045314</v>
      </c>
      <c r="H210">
        <f>(D210-G210)^2</f>
        <v>180413.23876460586</v>
      </c>
      <c r="I210">
        <f t="shared" si="19"/>
        <v>168925.99813717275</v>
      </c>
      <c r="J210">
        <f t="shared" si="20"/>
        <v>188.91720854898827</v>
      </c>
    </row>
    <row r="211" spans="1:10" x14ac:dyDescent="0.25">
      <c r="A211" t="str">
        <f t="shared" si="16"/>
        <v>2009</v>
      </c>
      <c r="B211" t="str">
        <f t="shared" si="17"/>
        <v>Juin</v>
      </c>
      <c r="C211" s="7" t="s">
        <v>596</v>
      </c>
      <c r="D211">
        <v>1579.6272727272701</v>
      </c>
      <c r="E211" s="7">
        <v>98.469335127450606</v>
      </c>
      <c r="F211">
        <v>210</v>
      </c>
      <c r="G211">
        <f t="shared" si="18"/>
        <v>1893.9208879152734</v>
      </c>
      <c r="H211">
        <f>(D211-G211)^2</f>
        <v>98780.476547944694</v>
      </c>
      <c r="I211">
        <f t="shared" si="19"/>
        <v>88833.719235686731</v>
      </c>
      <c r="J211">
        <f t="shared" si="20"/>
        <v>263.85957227090097</v>
      </c>
    </row>
    <row r="212" spans="1:10" x14ac:dyDescent="0.25">
      <c r="A212" t="str">
        <f t="shared" si="16"/>
        <v>2009</v>
      </c>
      <c r="B212" t="str">
        <f t="shared" si="17"/>
        <v>Juillet</v>
      </c>
      <c r="C212" s="7" t="s">
        <v>630</v>
      </c>
      <c r="D212">
        <v>1670.5565217391299</v>
      </c>
      <c r="E212" s="7">
        <v>104.13759804518099</v>
      </c>
      <c r="F212">
        <v>211</v>
      </c>
      <c r="G212">
        <f t="shared" si="18"/>
        <v>1896.4199271260154</v>
      </c>
      <c r="H212">
        <f>(D212-G212)^2</f>
        <v>51014.277892960563</v>
      </c>
      <c r="I212">
        <f t="shared" si="19"/>
        <v>42898.947627903843</v>
      </c>
      <c r="J212">
        <f t="shared" si="20"/>
        <v>351.29232994646577</v>
      </c>
    </row>
    <row r="213" spans="1:10" x14ac:dyDescent="0.25">
      <c r="A213" t="str">
        <f t="shared" si="16"/>
        <v>2009</v>
      </c>
      <c r="B213" t="str">
        <f t="shared" si="17"/>
        <v>Août</v>
      </c>
      <c r="C213" s="7" t="s">
        <v>664</v>
      </c>
      <c r="D213">
        <v>1927.6375</v>
      </c>
      <c r="E213" s="7">
        <v>120.163272861213</v>
      </c>
      <c r="F213">
        <v>212</v>
      </c>
      <c r="G213">
        <f t="shared" si="18"/>
        <v>1898.9189663367576</v>
      </c>
      <c r="H213">
        <f>(D213-G213)^2</f>
        <v>824.75417576678672</v>
      </c>
      <c r="I213">
        <f t="shared" si="19"/>
        <v>2496.0382662332645</v>
      </c>
      <c r="J213">
        <f t="shared" si="20"/>
        <v>451.21548157569242</v>
      </c>
    </row>
    <row r="214" spans="1:10" x14ac:dyDescent="0.25">
      <c r="A214" t="str">
        <f t="shared" si="16"/>
        <v>2009</v>
      </c>
      <c r="B214" t="str">
        <f t="shared" si="17"/>
        <v>Septembre</v>
      </c>
      <c r="C214" s="7" t="s">
        <v>698</v>
      </c>
      <c r="D214">
        <v>1835.59772727273</v>
      </c>
      <c r="E214" s="7">
        <v>114.425783149423</v>
      </c>
      <c r="F214">
        <v>213</v>
      </c>
      <c r="G214">
        <f t="shared" si="18"/>
        <v>1901.4180055474997</v>
      </c>
      <c r="H214">
        <f>(D214-G214)^2</f>
        <v>4332.3090321681111</v>
      </c>
      <c r="I214">
        <f t="shared" si="19"/>
        <v>1770.676390185246</v>
      </c>
      <c r="J214">
        <f t="shared" si="20"/>
        <v>563.62902715856262</v>
      </c>
    </row>
    <row r="215" spans="1:10" x14ac:dyDescent="0.25">
      <c r="A215" t="str">
        <f t="shared" si="16"/>
        <v>2009</v>
      </c>
      <c r="B215" t="str">
        <f t="shared" si="17"/>
        <v>Octobre</v>
      </c>
      <c r="C215" s="7" t="s">
        <v>732</v>
      </c>
      <c r="D215">
        <v>1875.6636363636401</v>
      </c>
      <c r="E215" s="7">
        <v>116.923374510103</v>
      </c>
      <c r="F215">
        <v>214</v>
      </c>
      <c r="G215">
        <f t="shared" si="18"/>
        <v>1903.9170447582417</v>
      </c>
      <c r="H215">
        <f>(D215-G215)^2</f>
        <v>798.25508591214373</v>
      </c>
      <c r="I215">
        <f t="shared" si="19"/>
        <v>4.0541688876608406</v>
      </c>
      <c r="J215">
        <f t="shared" si="20"/>
        <v>688.53296669508495</v>
      </c>
    </row>
    <row r="216" spans="1:10" x14ac:dyDescent="0.25">
      <c r="A216" t="str">
        <f t="shared" si="16"/>
        <v>2009</v>
      </c>
      <c r="B216" t="str">
        <f t="shared" si="17"/>
        <v>Novembre</v>
      </c>
      <c r="C216" s="7" t="s">
        <v>766</v>
      </c>
      <c r="D216">
        <v>1956.5476190476199</v>
      </c>
      <c r="E216" s="7">
        <v>121.96544496233101</v>
      </c>
      <c r="F216">
        <v>215</v>
      </c>
      <c r="G216">
        <f t="shared" si="18"/>
        <v>1906.4160839689837</v>
      </c>
      <c r="H216">
        <f>(D216-G216)^2</f>
        <v>2513.1708093405382</v>
      </c>
      <c r="I216">
        <f t="shared" si="19"/>
        <v>6220.5535622184352</v>
      </c>
      <c r="J216">
        <f t="shared" si="20"/>
        <v>825.92730018525936</v>
      </c>
    </row>
    <row r="217" spans="1:10" x14ac:dyDescent="0.25">
      <c r="A217" t="str">
        <f t="shared" si="16"/>
        <v>2009</v>
      </c>
      <c r="B217" t="str">
        <f t="shared" si="17"/>
        <v>Décembre</v>
      </c>
      <c r="C217" s="7" t="s">
        <v>799</v>
      </c>
      <c r="D217">
        <v>2181.25714285714</v>
      </c>
      <c r="E217" s="7">
        <v>135.97317817152501</v>
      </c>
      <c r="F217">
        <v>216</v>
      </c>
      <c r="G217">
        <f t="shared" si="18"/>
        <v>1908.9151231797259</v>
      </c>
      <c r="H217">
        <f>(D217-G217)^2</f>
        <v>74170.175681973007</v>
      </c>
      <c r="I217">
        <f t="shared" si="19"/>
        <v>92160.822357265613</v>
      </c>
      <c r="J217">
        <f t="shared" si="20"/>
        <v>975.81202762910004</v>
      </c>
    </row>
    <row r="218" spans="1:10" x14ac:dyDescent="0.25">
      <c r="A218" t="str">
        <f t="shared" si="16"/>
        <v>2010</v>
      </c>
      <c r="B218" t="str">
        <f t="shared" si="17"/>
        <v>Janvier</v>
      </c>
      <c r="C218" s="7" t="s">
        <v>427</v>
      </c>
      <c r="D218">
        <v>2230.1125000000002</v>
      </c>
      <c r="E218" s="7">
        <v>139.01867796652701</v>
      </c>
      <c r="F218">
        <v>217</v>
      </c>
      <c r="G218">
        <f t="shared" si="18"/>
        <v>1911.4141623904679</v>
      </c>
      <c r="H218">
        <f>(D218-G218)^2</f>
        <v>101568.6303950794</v>
      </c>
      <c r="I218">
        <f t="shared" si="19"/>
        <v>124210.68788038821</v>
      </c>
      <c r="J218">
        <f t="shared" si="20"/>
        <v>1138.1871490265798</v>
      </c>
    </row>
    <row r="219" spans="1:10" x14ac:dyDescent="0.25">
      <c r="A219" t="str">
        <f t="shared" si="16"/>
        <v>2010</v>
      </c>
      <c r="B219" t="str">
        <f t="shared" si="17"/>
        <v>février</v>
      </c>
      <c r="C219" s="7" t="s">
        <v>461</v>
      </c>
      <c r="D219">
        <v>2053.27</v>
      </c>
      <c r="E219" s="7">
        <v>127.99483474861999</v>
      </c>
      <c r="F219">
        <v>218</v>
      </c>
      <c r="G219">
        <f t="shared" si="18"/>
        <v>1913.9132016012099</v>
      </c>
      <c r="H219">
        <f>(D219-G219)^2</f>
        <v>19420.317259961008</v>
      </c>
      <c r="I219">
        <f t="shared" si="19"/>
        <v>30832.854925318181</v>
      </c>
      <c r="J219">
        <f t="shared" si="20"/>
        <v>1313.0526643777118</v>
      </c>
    </row>
    <row r="220" spans="1:10" x14ac:dyDescent="0.25">
      <c r="A220" t="str">
        <f t="shared" si="16"/>
        <v>2010</v>
      </c>
      <c r="B220" t="str">
        <f t="shared" si="17"/>
        <v>Mars</v>
      </c>
      <c r="C220" s="7" t="s">
        <v>495</v>
      </c>
      <c r="D220">
        <v>2210.53043478261</v>
      </c>
      <c r="E220" s="7">
        <v>137.79798940558001</v>
      </c>
      <c r="F220">
        <v>219</v>
      </c>
      <c r="G220">
        <f t="shared" si="18"/>
        <v>1916.412240811952</v>
      </c>
      <c r="H220">
        <f>(D220-G220)^2</f>
        <v>86505.512024561613</v>
      </c>
      <c r="I220">
        <f t="shared" si="19"/>
        <v>110791.32047732866</v>
      </c>
      <c r="J220">
        <f t="shared" si="20"/>
        <v>1500.4085736824959</v>
      </c>
    </row>
    <row r="221" spans="1:10" x14ac:dyDescent="0.25">
      <c r="A221" t="str">
        <f t="shared" si="16"/>
        <v>2010</v>
      </c>
      <c r="B221" t="str">
        <f t="shared" si="17"/>
        <v>Avril</v>
      </c>
      <c r="C221" s="7" t="s">
        <v>529</v>
      </c>
      <c r="D221">
        <v>2314.2775000000001</v>
      </c>
      <c r="E221" s="7">
        <v>144.26527742330501</v>
      </c>
      <c r="F221">
        <v>220</v>
      </c>
      <c r="G221">
        <f t="shared" si="18"/>
        <v>1918.911280022694</v>
      </c>
      <c r="H221">
        <f>(D221-G221)^2</f>
        <v>156314.44789914365</v>
      </c>
      <c r="I221">
        <f t="shared" si="19"/>
        <v>190619.88042484756</v>
      </c>
      <c r="J221">
        <f t="shared" si="20"/>
        <v>1700.254876940932</v>
      </c>
    </row>
    <row r="222" spans="1:10" x14ac:dyDescent="0.25">
      <c r="A222" t="str">
        <f t="shared" si="16"/>
        <v>2010</v>
      </c>
      <c r="B222" t="str">
        <f t="shared" si="17"/>
        <v>Mai</v>
      </c>
      <c r="C222" s="7" t="s">
        <v>563</v>
      </c>
      <c r="D222">
        <v>2044.71052631579</v>
      </c>
      <c r="E222" s="7">
        <v>127.461262242449</v>
      </c>
      <c r="F222">
        <v>221</v>
      </c>
      <c r="G222">
        <f t="shared" si="18"/>
        <v>1921.410319233436</v>
      </c>
      <c r="H222">
        <f>(D222-G222)^2</f>
        <v>15202.941066551395</v>
      </c>
      <c r="I222">
        <f t="shared" si="19"/>
        <v>27900.154467403972</v>
      </c>
      <c r="J222">
        <f t="shared" si="20"/>
        <v>1912.5915741530202</v>
      </c>
    </row>
    <row r="223" spans="1:10" x14ac:dyDescent="0.25">
      <c r="A223" t="str">
        <f t="shared" si="16"/>
        <v>2010</v>
      </c>
      <c r="B223" t="str">
        <f t="shared" si="17"/>
        <v>Juin</v>
      </c>
      <c r="C223" s="7" t="s">
        <v>597</v>
      </c>
      <c r="D223">
        <v>1929.4090909090901</v>
      </c>
      <c r="E223" s="7">
        <v>120.273708646887</v>
      </c>
      <c r="F223">
        <v>222</v>
      </c>
      <c r="G223">
        <f t="shared" si="18"/>
        <v>1923.909358444178</v>
      </c>
      <c r="H223">
        <f>(D223-G223)^2</f>
        <v>30.247057185607964</v>
      </c>
      <c r="I223">
        <f t="shared" si="19"/>
        <v>2676.1954644053999</v>
      </c>
      <c r="J223">
        <f t="shared" si="20"/>
        <v>2137.4186653187608</v>
      </c>
    </row>
    <row r="224" spans="1:10" x14ac:dyDescent="0.25">
      <c r="A224" t="str">
        <f t="shared" si="16"/>
        <v>2010</v>
      </c>
      <c r="B224" t="str">
        <f t="shared" si="17"/>
        <v>Juillet</v>
      </c>
      <c r="C224" s="7" t="s">
        <v>631</v>
      </c>
      <c r="D224">
        <v>1989.04545454545</v>
      </c>
      <c r="E224" s="7">
        <v>123.99126479325101</v>
      </c>
      <c r="F224">
        <v>223</v>
      </c>
      <c r="G224">
        <f t="shared" si="18"/>
        <v>1926.40839765492</v>
      </c>
      <c r="H224">
        <f>(D224-G224)^2</f>
        <v>3923.4008959074854</v>
      </c>
      <c r="I224">
        <f t="shared" si="19"/>
        <v>12402.903033727282</v>
      </c>
      <c r="J224">
        <f t="shared" si="20"/>
        <v>2374.7361504381529</v>
      </c>
    </row>
    <row r="225" spans="1:10" x14ac:dyDescent="0.25">
      <c r="A225" t="str">
        <f t="shared" si="16"/>
        <v>2010</v>
      </c>
      <c r="B225" t="str">
        <f t="shared" si="17"/>
        <v>Août</v>
      </c>
      <c r="C225" s="7" t="s">
        <v>665</v>
      </c>
      <c r="D225">
        <v>2110.4404761904798</v>
      </c>
      <c r="E225" s="7">
        <v>131.55867469782299</v>
      </c>
      <c r="F225">
        <v>224</v>
      </c>
      <c r="G225">
        <f t="shared" si="18"/>
        <v>1928.907436865662</v>
      </c>
      <c r="H225">
        <f>(D225-G225)^2</f>
        <v>32954.244366505831</v>
      </c>
      <c r="I225">
        <f t="shared" si="19"/>
        <v>54178.773912050739</v>
      </c>
      <c r="J225">
        <f t="shared" si="20"/>
        <v>2624.5440295111976</v>
      </c>
    </row>
    <row r="226" spans="1:10" x14ac:dyDescent="0.25">
      <c r="A226" t="str">
        <f t="shared" si="16"/>
        <v>2010</v>
      </c>
      <c r="B226" t="str">
        <f t="shared" si="17"/>
        <v>Septembre</v>
      </c>
      <c r="C226" s="7" t="s">
        <v>699</v>
      </c>
      <c r="D226">
        <v>2171.2431818181799</v>
      </c>
      <c r="E226" s="7">
        <v>135.348937185994</v>
      </c>
      <c r="F226">
        <v>225</v>
      </c>
      <c r="G226">
        <f t="shared" si="18"/>
        <v>1931.406476076404</v>
      </c>
      <c r="H226">
        <f>(D226-G226)^2</f>
        <v>57521.64542106718</v>
      </c>
      <c r="I226">
        <f t="shared" si="19"/>
        <v>86181.024992032631</v>
      </c>
      <c r="J226">
        <f t="shared" si="20"/>
        <v>2886.8423025378943</v>
      </c>
    </row>
    <row r="227" spans="1:10" x14ac:dyDescent="0.25">
      <c r="A227" t="str">
        <f t="shared" si="16"/>
        <v>2010</v>
      </c>
      <c r="B227" t="str">
        <f t="shared" si="17"/>
        <v>Octobre</v>
      </c>
      <c r="C227" s="7" t="s">
        <v>733</v>
      </c>
      <c r="D227">
        <v>2342.1785714285702</v>
      </c>
      <c r="E227" s="7">
        <v>146.00454845283801</v>
      </c>
      <c r="F227">
        <v>226</v>
      </c>
      <c r="G227">
        <f t="shared" si="18"/>
        <v>1933.905515287146</v>
      </c>
      <c r="H227">
        <f>(D227-G227)^2</f>
        <v>166686.88837105848</v>
      </c>
      <c r="I227">
        <f t="shared" si="19"/>
        <v>215761.58625998732</v>
      </c>
      <c r="J227">
        <f t="shared" si="20"/>
        <v>3161.6309695182435</v>
      </c>
    </row>
    <row r="228" spans="1:10" x14ac:dyDescent="0.25">
      <c r="A228" t="str">
        <f t="shared" si="16"/>
        <v>2010</v>
      </c>
      <c r="B228" t="str">
        <f t="shared" si="17"/>
        <v>Novembre</v>
      </c>
      <c r="C228" s="7" t="s">
        <v>767</v>
      </c>
      <c r="D228">
        <v>2324.04545454545</v>
      </c>
      <c r="E228" s="7">
        <v>144.874183084946</v>
      </c>
      <c r="F228">
        <v>227</v>
      </c>
      <c r="G228">
        <f t="shared" si="18"/>
        <v>1936.4045544978881</v>
      </c>
      <c r="H228">
        <f>(D228-G228)^2</f>
        <v>150265.46738968388</v>
      </c>
      <c r="I228">
        <f t="shared" si="19"/>
        <v>199244.67843872705</v>
      </c>
      <c r="J228">
        <f t="shared" si="20"/>
        <v>3448.9100304522444</v>
      </c>
    </row>
    <row r="229" spans="1:10" x14ac:dyDescent="0.25">
      <c r="A229" t="str">
        <f t="shared" si="16"/>
        <v>2010</v>
      </c>
      <c r="B229" t="str">
        <f t="shared" si="17"/>
        <v>Décembre</v>
      </c>
      <c r="C229" s="7" t="s">
        <v>800</v>
      </c>
      <c r="D229">
        <v>2356.6690476190502</v>
      </c>
      <c r="E229" s="7">
        <v>146.90784227461</v>
      </c>
      <c r="F229">
        <v>228</v>
      </c>
      <c r="G229">
        <f t="shared" si="18"/>
        <v>1938.9035937086301</v>
      </c>
      <c r="H229">
        <f>(D229-G229)^2</f>
        <v>174527.97448097935</v>
      </c>
      <c r="I229">
        <f t="shared" si="19"/>
        <v>229433.25422688277</v>
      </c>
      <c r="J229">
        <f t="shared" si="20"/>
        <v>3748.6794853398974</v>
      </c>
    </row>
    <row r="230" spans="1:10" x14ac:dyDescent="0.25">
      <c r="A230" t="str">
        <f t="shared" si="16"/>
        <v>2011</v>
      </c>
      <c r="B230" t="str">
        <f t="shared" si="17"/>
        <v>Janvier</v>
      </c>
      <c r="C230" s="7" t="s">
        <v>428</v>
      </c>
      <c r="D230">
        <v>2439.6999999999998</v>
      </c>
      <c r="E230" s="7">
        <v>152.08374852611101</v>
      </c>
      <c r="F230">
        <v>229</v>
      </c>
      <c r="G230">
        <f t="shared" si="18"/>
        <v>1941.4026329193723</v>
      </c>
      <c r="H230">
        <f>(D230-G230)^2</f>
        <v>248300.26603948564</v>
      </c>
      <c r="I230">
        <f t="shared" si="19"/>
        <v>315869.70297981123</v>
      </c>
      <c r="J230">
        <f t="shared" si="20"/>
        <v>4060.9393341812315</v>
      </c>
    </row>
    <row r="231" spans="1:10" x14ac:dyDescent="0.25">
      <c r="A231" t="str">
        <f t="shared" si="16"/>
        <v>2011</v>
      </c>
      <c r="B231" t="str">
        <f t="shared" si="17"/>
        <v>février</v>
      </c>
      <c r="C231" s="7" t="s">
        <v>462</v>
      </c>
      <c r="D231">
        <v>2515.2600000000002</v>
      </c>
      <c r="E231" s="7">
        <v>156.79393749960499</v>
      </c>
      <c r="F231">
        <v>230</v>
      </c>
      <c r="G231">
        <f t="shared" si="18"/>
        <v>1943.9016721301143</v>
      </c>
      <c r="H231">
        <f>(D231-G231)^2</f>
        <v>326450.33882627205</v>
      </c>
      <c r="I231">
        <f t="shared" si="19"/>
        <v>406511.91223398328</v>
      </c>
      <c r="J231">
        <f t="shared" si="20"/>
        <v>4385.6895769761904</v>
      </c>
    </row>
    <row r="232" spans="1:10" x14ac:dyDescent="0.25">
      <c r="A232" t="str">
        <f t="shared" si="16"/>
        <v>2011</v>
      </c>
      <c r="B232" t="str">
        <f t="shared" si="17"/>
        <v>Mars</v>
      </c>
      <c r="C232" s="7" t="s">
        <v>496</v>
      </c>
      <c r="D232">
        <v>2555.5</v>
      </c>
      <c r="E232" s="7">
        <v>159.30238117738901</v>
      </c>
      <c r="F232">
        <v>231</v>
      </c>
      <c r="G232">
        <f t="shared" si="18"/>
        <v>1946.4007113408563</v>
      </c>
      <c r="H232">
        <f>(D232-G232)^2</f>
        <v>371001.94344507484</v>
      </c>
      <c r="I232">
        <f t="shared" si="19"/>
        <v>459443.83896648517</v>
      </c>
      <c r="J232">
        <f t="shared" si="20"/>
        <v>4722.9302137248005</v>
      </c>
    </row>
    <row r="233" spans="1:10" x14ac:dyDescent="0.25">
      <c r="A233" t="str">
        <f t="shared" si="16"/>
        <v>2011</v>
      </c>
      <c r="B233" t="str">
        <f t="shared" si="17"/>
        <v>Avril</v>
      </c>
      <c r="C233" s="7" t="s">
        <v>530</v>
      </c>
      <c r="D233">
        <v>2667.4166666666702</v>
      </c>
      <c r="E233" s="7">
        <v>166.27893820866899</v>
      </c>
      <c r="F233">
        <v>232</v>
      </c>
      <c r="G233">
        <f t="shared" si="18"/>
        <v>1948.8997505515983</v>
      </c>
      <c r="H233">
        <f>(D233-G233)^2</f>
        <v>516266.55874351313</v>
      </c>
      <c r="I233">
        <f t="shared" si="19"/>
        <v>623688.53096426185</v>
      </c>
      <c r="J233">
        <f t="shared" si="20"/>
        <v>5072.6612444270631</v>
      </c>
    </row>
    <row r="234" spans="1:10" x14ac:dyDescent="0.25">
      <c r="A234" t="str">
        <f t="shared" si="16"/>
        <v>2011</v>
      </c>
      <c r="B234" t="str">
        <f t="shared" si="17"/>
        <v>Mai</v>
      </c>
      <c r="C234" s="7" t="s">
        <v>564</v>
      </c>
      <c r="D234">
        <v>2587.2125000000001</v>
      </c>
      <c r="E234" s="7">
        <v>161.279245494778</v>
      </c>
      <c r="F234">
        <v>233</v>
      </c>
      <c r="G234">
        <f t="shared" si="18"/>
        <v>1951.3987897623406</v>
      </c>
      <c r="H234">
        <f>(D234-G234)^2</f>
        <v>404259.07412617846</v>
      </c>
      <c r="I234">
        <f t="shared" si="19"/>
        <v>503440.43695932761</v>
      </c>
      <c r="J234">
        <f t="shared" si="20"/>
        <v>5434.8826690830119</v>
      </c>
    </row>
    <row r="235" spans="1:10" x14ac:dyDescent="0.25">
      <c r="A235" t="str">
        <f t="shared" si="16"/>
        <v>2011</v>
      </c>
      <c r="B235" t="str">
        <f t="shared" si="17"/>
        <v>Juin</v>
      </c>
      <c r="C235" s="7" t="s">
        <v>598</v>
      </c>
      <c r="D235">
        <v>2557.7613636363599</v>
      </c>
      <c r="E235" s="7">
        <v>159.44334795961601</v>
      </c>
      <c r="F235">
        <v>234</v>
      </c>
      <c r="G235">
        <f t="shared" si="18"/>
        <v>1953.8978289730826</v>
      </c>
      <c r="H235">
        <f>(D235-G235)^2</f>
        <v>364651.16849602706</v>
      </c>
      <c r="I235">
        <f t="shared" si="19"/>
        <v>462514.56069842941</v>
      </c>
      <c r="J235">
        <f t="shared" si="20"/>
        <v>5809.5944876925796</v>
      </c>
    </row>
    <row r="236" spans="1:10" x14ac:dyDescent="0.25">
      <c r="A236" t="str">
        <f t="shared" si="16"/>
        <v>2011</v>
      </c>
      <c r="B236" t="str">
        <f t="shared" si="17"/>
        <v>Juillet</v>
      </c>
      <c r="C236" s="7" t="s">
        <v>632</v>
      </c>
      <c r="D236">
        <v>2525.4285714285702</v>
      </c>
      <c r="E236" s="7">
        <v>157.42781644374301</v>
      </c>
      <c r="F236">
        <v>235</v>
      </c>
      <c r="G236">
        <f t="shared" si="18"/>
        <v>1956.3968681838246</v>
      </c>
      <c r="H236">
        <f>(D236-G236)^2</f>
        <v>323797.0792976162</v>
      </c>
      <c r="I236">
        <f t="shared" si="19"/>
        <v>419581.92592740076</v>
      </c>
      <c r="J236">
        <f t="shared" si="20"/>
        <v>6196.7967002557998</v>
      </c>
    </row>
    <row r="237" spans="1:10" x14ac:dyDescent="0.25">
      <c r="A237" t="str">
        <f t="shared" si="16"/>
        <v>2011</v>
      </c>
      <c r="B237" t="str">
        <f t="shared" si="17"/>
        <v>Août</v>
      </c>
      <c r="C237" s="7" t="s">
        <v>666</v>
      </c>
      <c r="D237">
        <v>2380.9749999999999</v>
      </c>
      <c r="E237" s="7">
        <v>148.423004118112</v>
      </c>
      <c r="F237">
        <v>236</v>
      </c>
      <c r="G237">
        <f t="shared" si="18"/>
        <v>1958.8959073945666</v>
      </c>
      <c r="H237">
        <f>(D237-G237)^2</f>
        <v>178150.76041462593</v>
      </c>
      <c r="I237">
        <f t="shared" si="19"/>
        <v>253308.74288099949</v>
      </c>
      <c r="J237">
        <f t="shared" si="20"/>
        <v>6596.4893067726725</v>
      </c>
    </row>
    <row r="238" spans="1:10" x14ac:dyDescent="0.25">
      <c r="A238" t="str">
        <f t="shared" si="16"/>
        <v>2011</v>
      </c>
      <c r="B238" t="str">
        <f t="shared" si="17"/>
        <v>Septembre</v>
      </c>
      <c r="C238" s="7" t="s">
        <v>700</v>
      </c>
      <c r="D238">
        <v>2293.4613636363601</v>
      </c>
      <c r="E238" s="7">
        <v>142.96766048351199</v>
      </c>
      <c r="F238">
        <v>237</v>
      </c>
      <c r="G238">
        <f t="shared" si="18"/>
        <v>1961.3949466053086</v>
      </c>
      <c r="H238">
        <f>(D238-G238)^2</f>
        <v>110268.10531984022</v>
      </c>
      <c r="I238">
        <f t="shared" si="19"/>
        <v>172876.52640807489</v>
      </c>
      <c r="J238">
        <f t="shared" si="20"/>
        <v>7008.6723072431969</v>
      </c>
    </row>
    <row r="239" spans="1:10" x14ac:dyDescent="0.25">
      <c r="A239" t="str">
        <f t="shared" si="16"/>
        <v>2011</v>
      </c>
      <c r="B239" t="str">
        <f t="shared" si="17"/>
        <v>Octobre</v>
      </c>
      <c r="C239" s="7" t="s">
        <v>734</v>
      </c>
      <c r="D239">
        <v>2180.6476190476201</v>
      </c>
      <c r="E239" s="7">
        <v>135.935182243432</v>
      </c>
      <c r="F239">
        <v>238</v>
      </c>
      <c r="G239">
        <f t="shared" si="18"/>
        <v>1963.8939858160506</v>
      </c>
      <c r="H239">
        <f>(D239-G239)^2</f>
        <v>46982.137519085722</v>
      </c>
      <c r="I239">
        <f t="shared" si="19"/>
        <v>91791.115388390943</v>
      </c>
      <c r="J239">
        <f t="shared" si="20"/>
        <v>7433.3457016673729</v>
      </c>
    </row>
    <row r="240" spans="1:10" x14ac:dyDescent="0.25">
      <c r="A240" t="str">
        <f t="shared" si="16"/>
        <v>2011</v>
      </c>
      <c r="B240" t="str">
        <f t="shared" si="17"/>
        <v>Novembre</v>
      </c>
      <c r="C240" s="7" t="s">
        <v>768</v>
      </c>
      <c r="D240">
        <v>2079.98181818182</v>
      </c>
      <c r="E240" s="7">
        <v>129.65997121582399</v>
      </c>
      <c r="F240">
        <v>239</v>
      </c>
      <c r="G240">
        <f t="shared" si="18"/>
        <v>1966.3930250267927</v>
      </c>
      <c r="H240">
        <f>(D240-G240)^2</f>
        <v>12902.413930415591</v>
      </c>
      <c r="I240">
        <f t="shared" si="19"/>
        <v>40927.185628125684</v>
      </c>
      <c r="J240">
        <f t="shared" si="20"/>
        <v>7870.5094900452013</v>
      </c>
    </row>
    <row r="241" spans="1:10" x14ac:dyDescent="0.25">
      <c r="A241" t="str">
        <f t="shared" si="16"/>
        <v>2011</v>
      </c>
      <c r="B241" t="str">
        <f t="shared" si="17"/>
        <v>Décembre</v>
      </c>
      <c r="C241" s="7" t="s">
        <v>801</v>
      </c>
      <c r="D241">
        <v>2024.375</v>
      </c>
      <c r="E241" s="7">
        <v>126.193605124624</v>
      </c>
      <c r="F241">
        <v>240</v>
      </c>
      <c r="G241">
        <f t="shared" si="18"/>
        <v>1968.8920642375347</v>
      </c>
      <c r="H241">
        <f>(D241-G241)^2</f>
        <v>3078.3561608218542</v>
      </c>
      <c r="I241">
        <f t="shared" si="19"/>
        <v>21520.264169014761</v>
      </c>
      <c r="J241">
        <f t="shared" si="20"/>
        <v>8320.1636723766824</v>
      </c>
    </row>
    <row r="242" spans="1:10" x14ac:dyDescent="0.25">
      <c r="A242" t="str">
        <f t="shared" si="16"/>
        <v>2012</v>
      </c>
      <c r="B242" t="str">
        <f t="shared" si="17"/>
        <v>Janvier</v>
      </c>
      <c r="C242" s="7" t="s">
        <v>429</v>
      </c>
      <c r="D242">
        <v>2151.3333333333298</v>
      </c>
      <c r="E242" s="7">
        <v>134.10781557671299</v>
      </c>
      <c r="F242">
        <v>241</v>
      </c>
      <c r="G242">
        <f t="shared" si="18"/>
        <v>1971.3911034482767</v>
      </c>
      <c r="H242">
        <f>(D242-G242)^2</f>
        <v>32379.20609600532</v>
      </c>
      <c r="I242">
        <f t="shared" si="19"/>
        <v>74887.715956000029</v>
      </c>
      <c r="J242">
        <f t="shared" si="20"/>
        <v>8782.308248661815</v>
      </c>
    </row>
    <row r="243" spans="1:10" x14ac:dyDescent="0.25">
      <c r="A243" t="str">
        <f t="shared" si="16"/>
        <v>2012</v>
      </c>
      <c r="B243" t="str">
        <f t="shared" si="17"/>
        <v>février</v>
      </c>
      <c r="C243" s="7" t="s">
        <v>463</v>
      </c>
      <c r="D243">
        <v>2207.9166666666702</v>
      </c>
      <c r="E243" s="7">
        <v>137.635054760808</v>
      </c>
      <c r="F243">
        <v>242</v>
      </c>
      <c r="G243">
        <f t="shared" si="18"/>
        <v>1973.8901426590187</v>
      </c>
      <c r="H243">
        <f>(D243-G243)^2</f>
        <v>54768.413939103863</v>
      </c>
      <c r="I243">
        <f t="shared" si="19"/>
        <v>109058.14956636078</v>
      </c>
      <c r="J243">
        <f t="shared" si="20"/>
        <v>9256.9432189006002</v>
      </c>
    </row>
    <row r="244" spans="1:10" x14ac:dyDescent="0.25">
      <c r="A244" t="str">
        <f t="shared" si="16"/>
        <v>2012</v>
      </c>
      <c r="B244" t="str">
        <f t="shared" si="17"/>
        <v>Mars</v>
      </c>
      <c r="C244" s="7" t="s">
        <v>497</v>
      </c>
      <c r="D244">
        <v>2184.1590909090901</v>
      </c>
      <c r="E244" s="7">
        <v>136.15407710900399</v>
      </c>
      <c r="F244">
        <v>243</v>
      </c>
      <c r="G244">
        <f t="shared" si="18"/>
        <v>1976.3891818697607</v>
      </c>
      <c r="H244">
        <f>(D244-G244)^2</f>
        <v>43168.335102211204</v>
      </c>
      <c r="I244">
        <f t="shared" si="19"/>
        <v>93931.190495929855</v>
      </c>
      <c r="J244">
        <f t="shared" si="20"/>
        <v>9744.0685830930379</v>
      </c>
    </row>
    <row r="245" spans="1:10" x14ac:dyDescent="0.25">
      <c r="A245" t="str">
        <f t="shared" si="16"/>
        <v>2012</v>
      </c>
      <c r="B245" t="str">
        <f t="shared" si="17"/>
        <v>Avril</v>
      </c>
      <c r="C245" s="7" t="s">
        <v>531</v>
      </c>
      <c r="D245">
        <v>2048.5052631578901</v>
      </c>
      <c r="E245" s="7">
        <v>127.697815016814</v>
      </c>
      <c r="F245">
        <v>244</v>
      </c>
      <c r="G245">
        <f t="shared" si="18"/>
        <v>1978.8882210805027</v>
      </c>
      <c r="H245">
        <f>(D245-G245)^2</f>
        <v>4846.5325476047274</v>
      </c>
      <c r="I245">
        <f t="shared" si="19"/>
        <v>29182.25003771266</v>
      </c>
      <c r="J245">
        <f t="shared" si="20"/>
        <v>10243.684341239126</v>
      </c>
    </row>
    <row r="246" spans="1:10" x14ac:dyDescent="0.25">
      <c r="A246" t="str">
        <f t="shared" si="16"/>
        <v>2012</v>
      </c>
      <c r="B246" t="str">
        <f t="shared" si="17"/>
        <v>Mai</v>
      </c>
      <c r="C246" s="7" t="s">
        <v>565</v>
      </c>
      <c r="D246">
        <v>2002.52272727273</v>
      </c>
      <c r="E246" s="7">
        <v>124.83139848029199</v>
      </c>
      <c r="F246">
        <v>245</v>
      </c>
      <c r="G246">
        <f t="shared" si="18"/>
        <v>1981.3872602912447</v>
      </c>
      <c r="H246">
        <f>(D246-G246)^2</f>
        <v>446.70796452545329</v>
      </c>
      <c r="I246">
        <f t="shared" si="19"/>
        <v>15586.422397962564</v>
      </c>
      <c r="J246">
        <f t="shared" si="20"/>
        <v>10755.790493338867</v>
      </c>
    </row>
    <row r="247" spans="1:10" x14ac:dyDescent="0.25">
      <c r="A247" t="str">
        <f t="shared" si="16"/>
        <v>2012</v>
      </c>
      <c r="B247" t="str">
        <f t="shared" si="17"/>
        <v>Juin</v>
      </c>
      <c r="C247" s="7" t="s">
        <v>599</v>
      </c>
      <c r="D247">
        <v>1885.5131578947401</v>
      </c>
      <c r="E247" s="7">
        <v>117.537364818599</v>
      </c>
      <c r="F247">
        <v>246</v>
      </c>
      <c r="G247">
        <f t="shared" si="18"/>
        <v>1983.886299501987</v>
      </c>
      <c r="H247">
        <f>(D247-G247)^2</f>
        <v>9677.2749896794521</v>
      </c>
      <c r="I247">
        <f t="shared" si="19"/>
        <v>61.403285438686332</v>
      </c>
      <c r="J247">
        <f t="shared" si="20"/>
        <v>11280.38703939231</v>
      </c>
    </row>
    <row r="248" spans="1:10" x14ac:dyDescent="0.25">
      <c r="A248" t="str">
        <f t="shared" si="16"/>
        <v>2012</v>
      </c>
      <c r="B248" t="str">
        <f t="shared" si="17"/>
        <v>Juillet</v>
      </c>
      <c r="C248" s="7" t="s">
        <v>633</v>
      </c>
      <c r="D248">
        <v>1876.25</v>
      </c>
      <c r="E248" s="7">
        <v>116.95992670087099</v>
      </c>
      <c r="F248">
        <v>247</v>
      </c>
      <c r="G248">
        <f t="shared" si="18"/>
        <v>1986.385338712729</v>
      </c>
      <c r="H248">
        <f>(D248-G248)^2</f>
        <v>12129.792833367539</v>
      </c>
      <c r="I248">
        <f t="shared" si="19"/>
        <v>2.0367087294163011</v>
      </c>
      <c r="J248">
        <f t="shared" si="20"/>
        <v>11817.473979399356</v>
      </c>
    </row>
    <row r="249" spans="1:10" x14ac:dyDescent="0.25">
      <c r="A249" t="str">
        <f t="shared" si="16"/>
        <v>2012</v>
      </c>
      <c r="B249" t="str">
        <f t="shared" si="17"/>
        <v>Août</v>
      </c>
      <c r="C249" s="7" t="s">
        <v>667</v>
      </c>
      <c r="D249">
        <v>1843.3272727272699</v>
      </c>
      <c r="E249" s="7">
        <v>114.907620361838</v>
      </c>
      <c r="F249">
        <v>248</v>
      </c>
      <c r="G249">
        <f t="shared" si="18"/>
        <v>1988.884377923471</v>
      </c>
      <c r="H249">
        <f>(D249-G249)^2</f>
        <v>21186.870873097942</v>
      </c>
      <c r="I249">
        <f t="shared" si="19"/>
        <v>1179.9129038785038</v>
      </c>
      <c r="J249">
        <f t="shared" si="20"/>
        <v>12367.051313360056</v>
      </c>
    </row>
    <row r="250" spans="1:10" x14ac:dyDescent="0.25">
      <c r="A250" t="str">
        <f t="shared" si="16"/>
        <v>2012</v>
      </c>
      <c r="B250" t="str">
        <f t="shared" si="17"/>
        <v>Septembre</v>
      </c>
      <c r="C250" s="7" t="s">
        <v>701</v>
      </c>
      <c r="D250">
        <v>2064.12</v>
      </c>
      <c r="E250" s="7">
        <v>128.67119195299301</v>
      </c>
      <c r="F250">
        <v>249</v>
      </c>
      <c r="G250">
        <f t="shared" si="18"/>
        <v>1991.383417134213</v>
      </c>
      <c r="H250">
        <f>(D250-G250)^2</f>
        <v>5290.6104869914825</v>
      </c>
      <c r="I250">
        <f t="shared" si="19"/>
        <v>34760.942638231871</v>
      </c>
      <c r="J250">
        <f t="shared" si="20"/>
        <v>12929.119041274407</v>
      </c>
    </row>
    <row r="251" spans="1:10" x14ac:dyDescent="0.25">
      <c r="A251" t="str">
        <f t="shared" si="16"/>
        <v>2012</v>
      </c>
      <c r="B251" t="str">
        <f t="shared" si="17"/>
        <v>Octobre</v>
      </c>
      <c r="C251" s="7" t="s">
        <v>735</v>
      </c>
      <c r="D251">
        <v>1974.30434782609</v>
      </c>
      <c r="E251" s="7">
        <v>123.07234739877499</v>
      </c>
      <c r="F251">
        <v>250</v>
      </c>
      <c r="G251">
        <f t="shared" si="18"/>
        <v>1993.8824563449552</v>
      </c>
      <c r="H251">
        <f>(D251-G251)^2</f>
        <v>383.30233317646571</v>
      </c>
      <c r="I251">
        <f t="shared" si="19"/>
        <v>9336.8186362638626</v>
      </c>
      <c r="J251">
        <f t="shared" si="20"/>
        <v>13503.677163142462</v>
      </c>
    </row>
    <row r="252" spans="1:10" x14ac:dyDescent="0.25">
      <c r="A252" t="str">
        <f t="shared" si="16"/>
        <v>2012</v>
      </c>
      <c r="B252" t="str">
        <f t="shared" si="17"/>
        <v>Novembre</v>
      </c>
      <c r="C252" s="7" t="s">
        <v>769</v>
      </c>
      <c r="D252">
        <v>1948.82954545455</v>
      </c>
      <c r="E252" s="7">
        <v>121.484322872142</v>
      </c>
      <c r="F252">
        <v>251</v>
      </c>
      <c r="G252">
        <f t="shared" si="18"/>
        <v>1996.3814955556973</v>
      </c>
      <c r="H252">
        <f>(D252-G252)^2</f>
        <v>2261.1879584219946</v>
      </c>
      <c r="I252">
        <f t="shared" si="19"/>
        <v>5062.6657916346085</v>
      </c>
      <c r="J252">
        <f t="shared" si="20"/>
        <v>14090.725678964118</v>
      </c>
    </row>
    <row r="253" spans="1:10" x14ac:dyDescent="0.25">
      <c r="A253" t="str">
        <f t="shared" si="16"/>
        <v>2012</v>
      </c>
      <c r="B253" t="str">
        <f t="shared" si="17"/>
        <v>Décembre</v>
      </c>
      <c r="C253" s="7" t="s">
        <v>802</v>
      </c>
      <c r="D253">
        <v>2086.7631578947398</v>
      </c>
      <c r="E253" s="7">
        <v>130.08270006099801</v>
      </c>
      <c r="F253">
        <v>252</v>
      </c>
      <c r="G253">
        <f t="shared" si="18"/>
        <v>1998.8805347664393</v>
      </c>
      <c r="H253">
        <f>(D253-G253)^2</f>
        <v>7723.3554479109098</v>
      </c>
      <c r="I253">
        <f t="shared" si="19"/>
        <v>43716.96578727771</v>
      </c>
      <c r="J253">
        <f t="shared" si="20"/>
        <v>14690.264588739426</v>
      </c>
    </row>
    <row r="254" spans="1:10" x14ac:dyDescent="0.25">
      <c r="A254" t="str">
        <f t="shared" si="16"/>
        <v>2013</v>
      </c>
      <c r="B254" t="str">
        <f t="shared" si="17"/>
        <v>Janvier</v>
      </c>
      <c r="C254" s="7" t="s">
        <v>430</v>
      </c>
      <c r="D254">
        <v>2037.60681818182</v>
      </c>
      <c r="E254" s="7">
        <v>127.018437894599</v>
      </c>
      <c r="F254">
        <v>253</v>
      </c>
      <c r="G254">
        <f t="shared" si="18"/>
        <v>2001.3795739771813</v>
      </c>
      <c r="H254">
        <f>(D254-G254)^2</f>
        <v>1312.4132226625309</v>
      </c>
      <c r="I254">
        <f t="shared" si="19"/>
        <v>25577.504187818351</v>
      </c>
      <c r="J254">
        <f t="shared" si="20"/>
        <v>15302.293892468388</v>
      </c>
    </row>
    <row r="255" spans="1:10" x14ac:dyDescent="0.25">
      <c r="A255" t="str">
        <f t="shared" si="16"/>
        <v>2013</v>
      </c>
      <c r="B255" t="str">
        <f t="shared" si="17"/>
        <v>février</v>
      </c>
      <c r="C255" s="7" t="s">
        <v>464</v>
      </c>
      <c r="D255">
        <v>2053.5949999999998</v>
      </c>
      <c r="E255" s="7">
        <v>128.01509429621601</v>
      </c>
      <c r="F255">
        <v>254</v>
      </c>
      <c r="G255">
        <f t="shared" si="18"/>
        <v>2003.8786131879233</v>
      </c>
      <c r="H255">
        <f>(D255-G255)^2</f>
        <v>2471.7191176480151</v>
      </c>
      <c r="I255">
        <f t="shared" si="19"/>
        <v>30947.095913838573</v>
      </c>
      <c r="J255">
        <f t="shared" si="20"/>
        <v>15926.813590151</v>
      </c>
    </row>
    <row r="256" spans="1:10" x14ac:dyDescent="0.25">
      <c r="A256" t="str">
        <f t="shared" si="16"/>
        <v>2013</v>
      </c>
      <c r="B256" t="str">
        <f t="shared" si="17"/>
        <v>Mars</v>
      </c>
      <c r="C256" s="7" t="s">
        <v>498</v>
      </c>
      <c r="D256">
        <v>1911.2825</v>
      </c>
      <c r="E256" s="7">
        <v>119.14375008909199</v>
      </c>
      <c r="F256">
        <v>255</v>
      </c>
      <c r="G256">
        <f t="shared" si="18"/>
        <v>2006.3776523986653</v>
      </c>
      <c r="H256">
        <f>(D256-G256)^2</f>
        <v>9043.0880097253739</v>
      </c>
      <c r="I256">
        <f t="shared" si="19"/>
        <v>1129.3206881499416</v>
      </c>
      <c r="J256">
        <f t="shared" si="20"/>
        <v>16563.823681787264</v>
      </c>
    </row>
    <row r="257" spans="1:10" x14ac:dyDescent="0.25">
      <c r="A257" t="str">
        <f t="shared" si="16"/>
        <v>2013</v>
      </c>
      <c r="B257" t="str">
        <f t="shared" si="17"/>
        <v>Avril</v>
      </c>
      <c r="C257" s="7" t="s">
        <v>532</v>
      </c>
      <c r="D257">
        <v>1861.0238095238101</v>
      </c>
      <c r="E257" s="7">
        <v>116.010770606519</v>
      </c>
      <c r="F257">
        <v>256</v>
      </c>
      <c r="G257">
        <f t="shared" si="18"/>
        <v>2008.8766916094073</v>
      </c>
      <c r="H257">
        <f>(D257-G257)^2</f>
        <v>21860.474741017519</v>
      </c>
      <c r="I257">
        <f t="shared" si="19"/>
        <v>277.33318431641584</v>
      </c>
      <c r="J257">
        <f t="shared" si="20"/>
        <v>17213.324167377181</v>
      </c>
    </row>
    <row r="258" spans="1:10" x14ac:dyDescent="0.25">
      <c r="A258" t="str">
        <f t="shared" si="16"/>
        <v>2013</v>
      </c>
      <c r="B258" t="str">
        <f t="shared" si="17"/>
        <v>Mai</v>
      </c>
      <c r="C258" s="7" t="s">
        <v>566</v>
      </c>
      <c r="D258">
        <v>1832.57142857143</v>
      </c>
      <c r="E258" s="7">
        <v>114.237132556869</v>
      </c>
      <c r="F258">
        <v>257</v>
      </c>
      <c r="G258">
        <f t="shared" si="18"/>
        <v>2011.3757308201493</v>
      </c>
      <c r="H258">
        <f>(D258-G258)^2</f>
        <v>31970.978502651364</v>
      </c>
      <c r="I258">
        <f t="shared" si="19"/>
        <v>2034.5245760976536</v>
      </c>
      <c r="J258">
        <f t="shared" si="20"/>
        <v>17875.31504692075</v>
      </c>
    </row>
    <row r="259" spans="1:10" x14ac:dyDescent="0.25">
      <c r="A259" t="str">
        <f t="shared" ref="A259:A322" si="21">LEFT(C259,4)</f>
        <v>2013</v>
      </c>
      <c r="B259" t="str">
        <f t="shared" ref="B259:B322" si="22">MID(C259,6,10)</f>
        <v>Juin</v>
      </c>
      <c r="C259" s="7" t="s">
        <v>600</v>
      </c>
      <c r="D259">
        <v>1814.5374999999999</v>
      </c>
      <c r="E259" s="7">
        <v>113.112950297659</v>
      </c>
      <c r="F259">
        <v>258</v>
      </c>
      <c r="G259">
        <f t="shared" ref="G259:G322" si="23">SLOPE($D$2:$D$407,$F$2:$F$407)*F259+INTERCEPT($D$2:$D$407,$F$2:$F$407)</f>
        <v>2013.8747700308913</v>
      </c>
      <c r="H259">
        <f>(D259-G259)^2</f>
        <v>39735.347223368524</v>
      </c>
      <c r="I259">
        <f t="shared" ref="I259:I322" si="24">(D259-AVERAGE($D$2:$D$407))^2</f>
        <v>3986.6132611141334</v>
      </c>
      <c r="J259">
        <f t="shared" ref="J259:J322" si="25">(G259-AVERAGE($D$2:$D$407))^2</f>
        <v>18549.796320417972</v>
      </c>
    </row>
    <row r="260" spans="1:10" x14ac:dyDescent="0.25">
      <c r="A260" t="str">
        <f t="shared" si="21"/>
        <v>2013</v>
      </c>
      <c r="B260" t="str">
        <f t="shared" si="22"/>
        <v>Juillet</v>
      </c>
      <c r="C260" s="7" t="s">
        <v>634</v>
      </c>
      <c r="D260">
        <v>1769.6086956521699</v>
      </c>
      <c r="E260" s="7">
        <v>110.312220297243</v>
      </c>
      <c r="F260">
        <v>259</v>
      </c>
      <c r="G260">
        <f t="shared" si="23"/>
        <v>2016.3738092416334</v>
      </c>
      <c r="H260">
        <f>(D260-G260)^2</f>
        <v>60893.021284820803</v>
      </c>
      <c r="I260">
        <f t="shared" si="24"/>
        <v>11678.78716062537</v>
      </c>
      <c r="J260">
        <f t="shared" si="25"/>
        <v>19236.767987868847</v>
      </c>
    </row>
    <row r="261" spans="1:10" x14ac:dyDescent="0.25">
      <c r="A261" t="str">
        <f t="shared" si="21"/>
        <v>2013</v>
      </c>
      <c r="B261" t="str">
        <f t="shared" si="22"/>
        <v>Août</v>
      </c>
      <c r="C261" s="7" t="s">
        <v>668</v>
      </c>
      <c r="D261">
        <v>1816.2357142857099</v>
      </c>
      <c r="E261" s="7">
        <v>113.21881199966001</v>
      </c>
      <c r="F261">
        <v>260</v>
      </c>
      <c r="G261">
        <f t="shared" si="23"/>
        <v>2018.8728484523754</v>
      </c>
      <c r="H261">
        <f>(D261-G261)^2</f>
        <v>41061.808143279159</v>
      </c>
      <c r="I261">
        <f t="shared" si="24"/>
        <v>3775.0479392097764</v>
      </c>
      <c r="J261">
        <f t="shared" si="25"/>
        <v>19936.23004927337</v>
      </c>
    </row>
    <row r="262" spans="1:10" x14ac:dyDescent="0.25">
      <c r="A262" t="str">
        <f t="shared" si="21"/>
        <v>2013</v>
      </c>
      <c r="B262" t="str">
        <f t="shared" si="22"/>
        <v>Septembre</v>
      </c>
      <c r="C262" s="7" t="s">
        <v>702</v>
      </c>
      <c r="D262">
        <v>1761.30476190476</v>
      </c>
      <c r="E262" s="7">
        <v>109.79457740188001</v>
      </c>
      <c r="F262">
        <v>261</v>
      </c>
      <c r="G262">
        <f t="shared" si="23"/>
        <v>2021.3718876631174</v>
      </c>
      <c r="H262">
        <f>(D262-G262)^2</f>
        <v>67634.909900213286</v>
      </c>
      <c r="I262">
        <f t="shared" si="24"/>
        <v>13542.528764906579</v>
      </c>
      <c r="J262">
        <f t="shared" si="25"/>
        <v>20648.18250463155</v>
      </c>
    </row>
    <row r="263" spans="1:10" x14ac:dyDescent="0.25">
      <c r="A263" t="str">
        <f t="shared" si="21"/>
        <v>2013</v>
      </c>
      <c r="B263" t="str">
        <f t="shared" si="22"/>
        <v>Octobre</v>
      </c>
      <c r="C263" s="7" t="s">
        <v>736</v>
      </c>
      <c r="D263">
        <v>1814.5826086956499</v>
      </c>
      <c r="E263" s="7">
        <v>113.115762241556</v>
      </c>
      <c r="F263">
        <v>262</v>
      </c>
      <c r="G263">
        <f t="shared" si="23"/>
        <v>2023.8709268738594</v>
      </c>
      <c r="H263">
        <f>(D263-G263)^2</f>
        <v>43801.600125863442</v>
      </c>
      <c r="I263">
        <f t="shared" si="24"/>
        <v>3980.9190029275551</v>
      </c>
      <c r="J263">
        <f t="shared" si="25"/>
        <v>21372.625353943378</v>
      </c>
    </row>
    <row r="264" spans="1:10" x14ac:dyDescent="0.25">
      <c r="A264" t="str">
        <f t="shared" si="21"/>
        <v>2013</v>
      </c>
      <c r="B264" t="str">
        <f t="shared" si="22"/>
        <v>Novembre</v>
      </c>
      <c r="C264" s="7" t="s">
        <v>770</v>
      </c>
      <c r="D264">
        <v>1747.9642857142901</v>
      </c>
      <c r="E264" s="7">
        <v>108.96297121006501</v>
      </c>
      <c r="F264">
        <v>263</v>
      </c>
      <c r="G264">
        <f t="shared" si="23"/>
        <v>2026.3699660846016</v>
      </c>
      <c r="H264">
        <f>(D264-G264)^2</f>
        <v>77509.722862456067</v>
      </c>
      <c r="I264">
        <f t="shared" si="24"/>
        <v>16825.42276275688</v>
      </c>
      <c r="J264">
        <f t="shared" si="25"/>
        <v>22109.558597208928</v>
      </c>
    </row>
    <row r="265" spans="1:10" x14ac:dyDescent="0.25">
      <c r="A265" t="str">
        <f t="shared" si="21"/>
        <v>2013</v>
      </c>
      <c r="B265" t="str">
        <f t="shared" si="22"/>
        <v>Décembre</v>
      </c>
      <c r="C265" s="7" t="s">
        <v>803</v>
      </c>
      <c r="D265">
        <v>1739.81</v>
      </c>
      <c r="E265" s="7">
        <v>108.454656934547</v>
      </c>
      <c r="F265">
        <v>264</v>
      </c>
      <c r="G265">
        <f t="shared" si="23"/>
        <v>2028.8690052953436</v>
      </c>
      <c r="H265">
        <f>(D265-G265)^2</f>
        <v>83555.108542333532</v>
      </c>
      <c r="I265">
        <f t="shared" si="24"/>
        <v>19007.346374171913</v>
      </c>
      <c r="J265">
        <f t="shared" si="25"/>
        <v>22858.982234428062</v>
      </c>
    </row>
    <row r="266" spans="1:10" x14ac:dyDescent="0.25">
      <c r="A266" t="str">
        <f t="shared" si="21"/>
        <v>2014</v>
      </c>
      <c r="B266" t="str">
        <f t="shared" si="22"/>
        <v>Janvier</v>
      </c>
      <c r="C266" s="7" t="s">
        <v>431</v>
      </c>
      <c r="D266">
        <v>1727.41136363636</v>
      </c>
      <c r="E266" s="7">
        <v>107.68176227750099</v>
      </c>
      <c r="F266">
        <v>265</v>
      </c>
      <c r="G266">
        <f t="shared" si="23"/>
        <v>2031.3680445060857</v>
      </c>
      <c r="H266">
        <f>(D266-G266)^2</f>
        <v>92389.66384534027</v>
      </c>
      <c r="I266">
        <f t="shared" si="24"/>
        <v>22579.801456105914</v>
      </c>
      <c r="J266">
        <f t="shared" si="25"/>
        <v>23620.896265600848</v>
      </c>
    </row>
    <row r="267" spans="1:10" x14ac:dyDescent="0.25">
      <c r="A267" t="str">
        <f t="shared" si="21"/>
        <v>2014</v>
      </c>
      <c r="B267" t="str">
        <f t="shared" si="22"/>
        <v>février</v>
      </c>
      <c r="C267" s="7" t="s">
        <v>465</v>
      </c>
      <c r="D267">
        <v>1695.165</v>
      </c>
      <c r="E267" s="7">
        <v>105.67161846549401</v>
      </c>
      <c r="F267">
        <v>266</v>
      </c>
      <c r="G267">
        <f t="shared" si="23"/>
        <v>2033.8670837168277</v>
      </c>
      <c r="H267">
        <f>(D267-G267)^2</f>
        <v>114719.10151412096</v>
      </c>
      <c r="I267">
        <f t="shared" si="24"/>
        <v>33310.678708800173</v>
      </c>
      <c r="J267">
        <f t="shared" si="25"/>
        <v>24395.30069072729</v>
      </c>
    </row>
    <row r="268" spans="1:10" x14ac:dyDescent="0.25">
      <c r="A268" t="str">
        <f t="shared" si="21"/>
        <v>2014</v>
      </c>
      <c r="B268" t="str">
        <f t="shared" si="22"/>
        <v>Mars</v>
      </c>
      <c r="C268" s="7" t="s">
        <v>499</v>
      </c>
      <c r="D268">
        <v>1705.36666666667</v>
      </c>
      <c r="E268" s="7">
        <v>106.30756046979</v>
      </c>
      <c r="F268">
        <v>267</v>
      </c>
      <c r="G268">
        <f t="shared" si="23"/>
        <v>2036.3661229275699</v>
      </c>
      <c r="H268">
        <f>(D268-G268)^2</f>
        <v>109560.6400450114</v>
      </c>
      <c r="I268">
        <f t="shared" si="24"/>
        <v>29690.896823672792</v>
      </c>
      <c r="J268">
        <f t="shared" si="25"/>
        <v>25182.19550980745</v>
      </c>
    </row>
    <row r="269" spans="1:10" x14ac:dyDescent="0.25">
      <c r="A269" t="str">
        <f t="shared" si="21"/>
        <v>2014</v>
      </c>
      <c r="B269" t="str">
        <f t="shared" si="22"/>
        <v>Avril</v>
      </c>
      <c r="C269" s="7" t="s">
        <v>533</v>
      </c>
      <c r="D269">
        <v>1810.675</v>
      </c>
      <c r="E269" s="7">
        <v>112.872173366609</v>
      </c>
      <c r="F269">
        <v>268</v>
      </c>
      <c r="G269">
        <f t="shared" si="23"/>
        <v>2038.8651621383119</v>
      </c>
      <c r="H269">
        <f>(D269-G269)^2</f>
        <v>52070.750096709104</v>
      </c>
      <c r="I269">
        <f t="shared" si="24"/>
        <v>4489.285832640232</v>
      </c>
      <c r="J269">
        <f t="shared" si="25"/>
        <v>25981.580722841198</v>
      </c>
    </row>
    <row r="270" spans="1:10" x14ac:dyDescent="0.25">
      <c r="A270" t="str">
        <f t="shared" si="21"/>
        <v>2014</v>
      </c>
      <c r="B270" t="str">
        <f t="shared" si="22"/>
        <v>Mai</v>
      </c>
      <c r="C270" s="7" t="s">
        <v>567</v>
      </c>
      <c r="D270">
        <v>1751.05</v>
      </c>
      <c r="E270" s="7">
        <v>109.155325596035</v>
      </c>
      <c r="F270">
        <v>269</v>
      </c>
      <c r="G270">
        <f t="shared" si="23"/>
        <v>2041.3642013490539</v>
      </c>
      <c r="H270">
        <f>(D270-G270)^2</f>
        <v>84282.335504939052</v>
      </c>
      <c r="I270">
        <f t="shared" si="24"/>
        <v>16034.430823310187</v>
      </c>
      <c r="J270">
        <f t="shared" si="25"/>
        <v>26793.456329828594</v>
      </c>
    </row>
    <row r="271" spans="1:10" x14ac:dyDescent="0.25">
      <c r="A271" t="str">
        <f t="shared" si="21"/>
        <v>2014</v>
      </c>
      <c r="B271" t="str">
        <f t="shared" si="22"/>
        <v>Juin</v>
      </c>
      <c r="C271" s="7" t="s">
        <v>601</v>
      </c>
      <c r="D271">
        <v>1838.9523809523801</v>
      </c>
      <c r="E271" s="7">
        <v>114.63490242909199</v>
      </c>
      <c r="F271">
        <v>270</v>
      </c>
      <c r="G271">
        <f t="shared" si="23"/>
        <v>2043.8632405597959</v>
      </c>
      <c r="H271">
        <f>(D271-G271)^2</f>
        <v>41988.460385050101</v>
      </c>
      <c r="I271">
        <f t="shared" si="24"/>
        <v>1499.6064246697499</v>
      </c>
      <c r="J271">
        <f t="shared" si="25"/>
        <v>27617.822330769643</v>
      </c>
    </row>
    <row r="272" spans="1:10" x14ac:dyDescent="0.25">
      <c r="A272" t="str">
        <f t="shared" si="21"/>
        <v>2014</v>
      </c>
      <c r="B272" t="str">
        <f t="shared" si="22"/>
        <v>Juillet</v>
      </c>
      <c r="C272" s="7" t="s">
        <v>635</v>
      </c>
      <c r="D272">
        <v>1948.30434782609</v>
      </c>
      <c r="E272" s="7">
        <v>121.451583591061</v>
      </c>
      <c r="F272">
        <v>271</v>
      </c>
      <c r="G272">
        <f t="shared" si="23"/>
        <v>2046.362279770538</v>
      </c>
      <c r="H272">
        <f>(D272-G272)^2</f>
        <v>9615.3580172219954</v>
      </c>
      <c r="I272">
        <f t="shared" si="24"/>
        <v>4988.2034676706016</v>
      </c>
      <c r="J272">
        <f t="shared" si="25"/>
        <v>28454.678725664344</v>
      </c>
    </row>
    <row r="273" spans="1:10" x14ac:dyDescent="0.25">
      <c r="A273" t="str">
        <f t="shared" si="21"/>
        <v>2014</v>
      </c>
      <c r="B273" t="str">
        <f t="shared" si="22"/>
        <v>Août</v>
      </c>
      <c r="C273" s="7" t="s">
        <v>669</v>
      </c>
      <c r="D273">
        <v>2030.4925000000001</v>
      </c>
      <c r="E273" s="7">
        <v>126.57495214745801</v>
      </c>
      <c r="F273">
        <v>272</v>
      </c>
      <c r="G273">
        <f t="shared" si="23"/>
        <v>2048.86131898128</v>
      </c>
      <c r="H273">
        <f>(D273-G273)^2</f>
        <v>337.41351076702875</v>
      </c>
      <c r="I273">
        <f t="shared" si="24"/>
        <v>23352.536377453693</v>
      </c>
      <c r="J273">
        <f t="shared" si="25"/>
        <v>29304.025514512698</v>
      </c>
    </row>
    <row r="274" spans="1:10" x14ac:dyDescent="0.25">
      <c r="A274" t="str">
        <f t="shared" si="21"/>
        <v>2014</v>
      </c>
      <c r="B274" t="str">
        <f t="shared" si="22"/>
        <v>Septembre</v>
      </c>
      <c r="C274" s="7" t="s">
        <v>703</v>
      </c>
      <c r="D274">
        <v>1990.4318181818201</v>
      </c>
      <c r="E274" s="7">
        <v>124.077686639642</v>
      </c>
      <c r="F274">
        <v>273</v>
      </c>
      <c r="G274">
        <f t="shared" si="23"/>
        <v>2051.360358192022</v>
      </c>
      <c r="H274">
        <f>(D274-G274)^2</f>
        <v>3712.2869877747753</v>
      </c>
      <c r="I274">
        <f t="shared" si="24"/>
        <v>12713.619020201881</v>
      </c>
      <c r="J274">
        <f t="shared" si="25"/>
        <v>30165.8626973147</v>
      </c>
    </row>
    <row r="275" spans="1:10" x14ac:dyDescent="0.25">
      <c r="A275" t="str">
        <f t="shared" si="21"/>
        <v>2014</v>
      </c>
      <c r="B275" t="str">
        <f t="shared" si="22"/>
        <v>Octobre</v>
      </c>
      <c r="C275" s="7" t="s">
        <v>737</v>
      </c>
      <c r="D275">
        <v>1946.1891304347801</v>
      </c>
      <c r="E275" s="7">
        <v>121.319727137474</v>
      </c>
      <c r="F275">
        <v>274</v>
      </c>
      <c r="G275">
        <f t="shared" si="23"/>
        <v>2053.859397402764</v>
      </c>
      <c r="H275">
        <f>(D275-G275)^2</f>
        <v>11592.886388956933</v>
      </c>
      <c r="I275">
        <f t="shared" si="24"/>
        <v>4693.8937862755247</v>
      </c>
      <c r="J275">
        <f t="shared" si="25"/>
        <v>31040.190274070359</v>
      </c>
    </row>
    <row r="276" spans="1:10" x14ac:dyDescent="0.25">
      <c r="A276" t="str">
        <f t="shared" si="21"/>
        <v>2014</v>
      </c>
      <c r="B276" t="str">
        <f t="shared" si="22"/>
        <v>Novembre</v>
      </c>
      <c r="C276" s="7" t="s">
        <v>771</v>
      </c>
      <c r="D276">
        <v>2055.5549999999998</v>
      </c>
      <c r="E276" s="7">
        <v>128.13727495249</v>
      </c>
      <c r="F276">
        <v>275</v>
      </c>
      <c r="G276">
        <f t="shared" si="23"/>
        <v>2056.358436613506</v>
      </c>
      <c r="H276">
        <f>(D276-G276)^2</f>
        <v>0.64551039192225412</v>
      </c>
      <c r="I276">
        <f t="shared" si="24"/>
        <v>31640.535552300418</v>
      </c>
      <c r="J276">
        <f t="shared" si="25"/>
        <v>31927.008244779667</v>
      </c>
    </row>
    <row r="277" spans="1:10" x14ac:dyDescent="0.25">
      <c r="A277" t="str">
        <f t="shared" si="21"/>
        <v>2014</v>
      </c>
      <c r="B277" t="str">
        <f t="shared" si="22"/>
        <v>Décembre</v>
      </c>
      <c r="C277" s="7" t="s">
        <v>804</v>
      </c>
      <c r="D277">
        <v>1909.4595238095201</v>
      </c>
      <c r="E277" s="7">
        <v>119.03011109555899</v>
      </c>
      <c r="F277">
        <v>276</v>
      </c>
      <c r="G277">
        <f t="shared" si="23"/>
        <v>2058.857475824248</v>
      </c>
      <c r="H277">
        <f>(D277-G277)^2</f>
        <v>22319.748066194952</v>
      </c>
      <c r="I277">
        <f t="shared" si="24"/>
        <v>1010.1203626800268</v>
      </c>
      <c r="J277">
        <f t="shared" si="25"/>
        <v>32826.316609442627</v>
      </c>
    </row>
    <row r="278" spans="1:10" x14ac:dyDescent="0.25">
      <c r="A278" t="str">
        <f t="shared" si="21"/>
        <v>2015</v>
      </c>
      <c r="B278" t="str">
        <f t="shared" si="22"/>
        <v>Janvier</v>
      </c>
      <c r="C278" s="7" t="s">
        <v>432</v>
      </c>
      <c r="D278">
        <v>1814.7190476190499</v>
      </c>
      <c r="E278" s="7">
        <v>113.12426744421001</v>
      </c>
      <c r="F278">
        <v>277</v>
      </c>
      <c r="G278">
        <f t="shared" si="23"/>
        <v>2061.35651503499</v>
      </c>
      <c r="H278">
        <f>(D278-G278)^2</f>
        <v>60830.04033334893</v>
      </c>
      <c r="I278">
        <f t="shared" si="24"/>
        <v>3963.7205205579344</v>
      </c>
      <c r="J278">
        <f t="shared" si="25"/>
        <v>33738.115368059247</v>
      </c>
    </row>
    <row r="279" spans="1:10" x14ac:dyDescent="0.25">
      <c r="A279" t="str">
        <f t="shared" si="21"/>
        <v>2015</v>
      </c>
      <c r="B279" t="str">
        <f t="shared" si="22"/>
        <v>février</v>
      </c>
      <c r="C279" s="7" t="s">
        <v>466</v>
      </c>
      <c r="D279">
        <v>1817.82</v>
      </c>
      <c r="E279" s="7">
        <v>113.317571728383</v>
      </c>
      <c r="F279">
        <v>278</v>
      </c>
      <c r="G279">
        <f t="shared" si="23"/>
        <v>2063.855554245732</v>
      </c>
      <c r="H279">
        <f>(D279-G279)^2</f>
        <v>60533.493953004581</v>
      </c>
      <c r="I279">
        <f t="shared" si="24"/>
        <v>3582.8763764207483</v>
      </c>
      <c r="J279">
        <f t="shared" si="25"/>
        <v>34662.404520629512</v>
      </c>
    </row>
    <row r="280" spans="1:10" x14ac:dyDescent="0.25">
      <c r="A280" t="str">
        <f t="shared" si="21"/>
        <v>2015</v>
      </c>
      <c r="B280" t="str">
        <f t="shared" si="22"/>
        <v>Mars</v>
      </c>
      <c r="C280" s="7" t="s">
        <v>500</v>
      </c>
      <c r="D280">
        <v>1773.8636363636399</v>
      </c>
      <c r="E280" s="7">
        <v>110.577460832209</v>
      </c>
      <c r="F280">
        <v>279</v>
      </c>
      <c r="G280">
        <f t="shared" si="23"/>
        <v>2066.354593456474</v>
      </c>
      <c r="H280">
        <f>(D280-G280)^2</f>
        <v>85550.959981082153</v>
      </c>
      <c r="I280">
        <f t="shared" si="24"/>
        <v>10777.242093304263</v>
      </c>
      <c r="J280">
        <f t="shared" si="25"/>
        <v>35599.18406715343</v>
      </c>
    </row>
    <row r="281" spans="1:10" x14ac:dyDescent="0.25">
      <c r="A281" t="str">
        <f t="shared" si="21"/>
        <v>2015</v>
      </c>
      <c r="B281" t="str">
        <f t="shared" si="22"/>
        <v>Avril</v>
      </c>
      <c r="C281" s="7" t="s">
        <v>534</v>
      </c>
      <c r="D281">
        <v>1819.1875</v>
      </c>
      <c r="E281" s="7">
        <v>113.402817670961</v>
      </c>
      <c r="F281">
        <v>280</v>
      </c>
      <c r="G281">
        <f t="shared" si="23"/>
        <v>2068.8536326672165</v>
      </c>
      <c r="H281">
        <f>(D281-G281)^2</f>
        <v>62333.17780100416</v>
      </c>
      <c r="I281">
        <f t="shared" si="24"/>
        <v>3421.0371737914338</v>
      </c>
      <c r="J281">
        <f t="shared" si="25"/>
        <v>36548.454007631168</v>
      </c>
    </row>
    <row r="282" spans="1:10" x14ac:dyDescent="0.25">
      <c r="A282" t="str">
        <f t="shared" si="21"/>
        <v>2015</v>
      </c>
      <c r="B282" t="str">
        <f t="shared" si="22"/>
        <v>Mai</v>
      </c>
      <c r="C282" s="7" t="s">
        <v>568</v>
      </c>
      <c r="D282">
        <v>1804.03947368421</v>
      </c>
      <c r="E282" s="7">
        <v>112.45853410130999</v>
      </c>
      <c r="F282">
        <v>281</v>
      </c>
      <c r="G282">
        <f t="shared" si="23"/>
        <v>2071.3526718779585</v>
      </c>
      <c r="H282">
        <f>(D282-G282)^2</f>
        <v>71456.345928570314</v>
      </c>
      <c r="I282">
        <f t="shared" si="24"/>
        <v>5422.5048762020706</v>
      </c>
      <c r="J282">
        <f t="shared" si="25"/>
        <v>37510.214342062398</v>
      </c>
    </row>
    <row r="283" spans="1:10" x14ac:dyDescent="0.25">
      <c r="A283" t="str">
        <f t="shared" si="21"/>
        <v>2015</v>
      </c>
      <c r="B283" t="str">
        <f t="shared" si="22"/>
        <v>Juin</v>
      </c>
      <c r="C283" s="7" t="s">
        <v>602</v>
      </c>
      <c r="D283">
        <v>1687.72727272727</v>
      </c>
      <c r="E283" s="7">
        <v>105.207972343368</v>
      </c>
      <c r="F283">
        <v>282</v>
      </c>
      <c r="G283">
        <f t="shared" si="23"/>
        <v>2073.8517110887005</v>
      </c>
      <c r="H283">
        <f>(D283-G283)^2</f>
        <v>149092.08189993017</v>
      </c>
      <c r="I283">
        <f t="shared" si="24"/>
        <v>36080.949434896203</v>
      </c>
      <c r="J283">
        <f t="shared" si="25"/>
        <v>38484.465070447273</v>
      </c>
    </row>
    <row r="284" spans="1:10" x14ac:dyDescent="0.25">
      <c r="A284" t="str">
        <f t="shared" si="21"/>
        <v>2015</v>
      </c>
      <c r="B284" t="str">
        <f t="shared" si="22"/>
        <v>Juillet</v>
      </c>
      <c r="C284" s="7" t="s">
        <v>636</v>
      </c>
      <c r="D284">
        <v>1639.5</v>
      </c>
      <c r="E284" s="7">
        <v>102.20162549024801</v>
      </c>
      <c r="F284">
        <v>283</v>
      </c>
      <c r="G284">
        <f t="shared" si="23"/>
        <v>2076.3507502994426</v>
      </c>
      <c r="H284">
        <f>(D284-G284)^2</f>
        <v>190838.57803718591</v>
      </c>
      <c r="I284">
        <f t="shared" si="24"/>
        <v>56728.34670575014</v>
      </c>
      <c r="J284">
        <f t="shared" si="25"/>
        <v>39471.206192785801</v>
      </c>
    </row>
    <row r="285" spans="1:10" x14ac:dyDescent="0.25">
      <c r="A285" t="str">
        <f t="shared" si="21"/>
        <v>2015</v>
      </c>
      <c r="B285" t="str">
        <f t="shared" si="22"/>
        <v>Août</v>
      </c>
      <c r="C285" s="7" t="s">
        <v>670</v>
      </c>
      <c r="D285">
        <v>1548.125</v>
      </c>
      <c r="E285" s="7">
        <v>96.505575762177997</v>
      </c>
      <c r="F285">
        <v>284</v>
      </c>
      <c r="G285">
        <f t="shared" si="23"/>
        <v>2078.8497895101846</v>
      </c>
      <c r="H285">
        <f>(D285-G285)^2</f>
        <v>281668.80220062973</v>
      </c>
      <c r="I285">
        <f t="shared" si="24"/>
        <v>108604.60839480619</v>
      </c>
      <c r="J285">
        <f t="shared" si="25"/>
        <v>40470.437709077982</v>
      </c>
    </row>
    <row r="286" spans="1:10" x14ac:dyDescent="0.25">
      <c r="A286" t="str">
        <f t="shared" si="21"/>
        <v>2015</v>
      </c>
      <c r="B286" t="str">
        <f t="shared" si="22"/>
        <v>Septembre</v>
      </c>
      <c r="C286" s="7" t="s">
        <v>704</v>
      </c>
      <c r="D286">
        <v>1589.60227272727</v>
      </c>
      <c r="E286" s="7">
        <v>99.091147395986795</v>
      </c>
      <c r="F286">
        <v>285</v>
      </c>
      <c r="G286">
        <f t="shared" si="23"/>
        <v>2081.3488287209266</v>
      </c>
      <c r="H286">
        <f>(D286-G286)^2</f>
        <v>241814.67533162239</v>
      </c>
      <c r="I286">
        <f t="shared" si="24"/>
        <v>82987.125147339088</v>
      </c>
      <c r="J286">
        <f t="shared" si="25"/>
        <v>41482.159619323815</v>
      </c>
    </row>
    <row r="287" spans="1:10" x14ac:dyDescent="0.25">
      <c r="A287" t="str">
        <f t="shared" si="21"/>
        <v>2015</v>
      </c>
      <c r="B287" t="str">
        <f t="shared" si="22"/>
        <v>Octobre</v>
      </c>
      <c r="C287" s="7" t="s">
        <v>738</v>
      </c>
      <c r="D287">
        <v>1516.4886363636399</v>
      </c>
      <c r="E287" s="7">
        <v>94.533457562582399</v>
      </c>
      <c r="F287">
        <v>286</v>
      </c>
      <c r="G287">
        <f t="shared" si="23"/>
        <v>2083.8478679316686</v>
      </c>
      <c r="H287">
        <f>(D287-G287)^2</f>
        <v>321896.49764546403</v>
      </c>
      <c r="I287">
        <f t="shared" si="24"/>
        <v>130457.13013526618</v>
      </c>
      <c r="J287">
        <f t="shared" si="25"/>
        <v>42506.3719235233</v>
      </c>
    </row>
    <row r="288" spans="1:10" x14ac:dyDescent="0.25">
      <c r="A288" t="str">
        <f t="shared" si="21"/>
        <v>2015</v>
      </c>
      <c r="B288" t="str">
        <f t="shared" si="22"/>
        <v>Novembre</v>
      </c>
      <c r="C288" s="7" t="s">
        <v>772</v>
      </c>
      <c r="D288">
        <v>1467.8928571428601</v>
      </c>
      <c r="E288" s="7">
        <v>91.504139094556294</v>
      </c>
      <c r="F288">
        <v>287</v>
      </c>
      <c r="G288">
        <f t="shared" si="23"/>
        <v>2086.3469071424106</v>
      </c>
      <c r="H288">
        <f>(D288-G288)^2</f>
        <v>382485.41196084657</v>
      </c>
      <c r="I288">
        <f t="shared" si="24"/>
        <v>167923.1527770102</v>
      </c>
      <c r="J288">
        <f t="shared" si="25"/>
        <v>43543.074621676438</v>
      </c>
    </row>
    <row r="289" spans="1:10" x14ac:dyDescent="0.25">
      <c r="A289" t="str">
        <f t="shared" si="21"/>
        <v>2015</v>
      </c>
      <c r="B289" t="str">
        <f t="shared" si="22"/>
        <v>Décembre</v>
      </c>
      <c r="C289" s="7" t="s">
        <v>805</v>
      </c>
      <c r="D289">
        <v>1497.2023809523801</v>
      </c>
      <c r="E289" s="7">
        <v>93.331208918086901</v>
      </c>
      <c r="F289">
        <v>288</v>
      </c>
      <c r="G289">
        <f t="shared" si="23"/>
        <v>2088.8459463531526</v>
      </c>
      <c r="H289">
        <f>(D289-G289)^2</f>
        <v>350042.10848013824</v>
      </c>
      <c r="I289">
        <f t="shared" si="24"/>
        <v>144761.03698028327</v>
      </c>
      <c r="J289">
        <f t="shared" si="25"/>
        <v>44592.267713783229</v>
      </c>
    </row>
    <row r="290" spans="1:10" x14ac:dyDescent="0.25">
      <c r="A290" t="str">
        <f t="shared" si="21"/>
        <v>2016</v>
      </c>
      <c r="B290" t="str">
        <f t="shared" si="22"/>
        <v>Janvier</v>
      </c>
      <c r="C290" s="7" t="s">
        <v>433</v>
      </c>
      <c r="D290">
        <v>1481.1</v>
      </c>
      <c r="E290" s="7">
        <v>92.327433677100899</v>
      </c>
      <c r="F290">
        <v>289</v>
      </c>
      <c r="G290">
        <f t="shared" si="23"/>
        <v>2091.3449855638946</v>
      </c>
      <c r="H290">
        <f>(D290-G290)^2</f>
        <v>372398.94240587804</v>
      </c>
      <c r="I290">
        <f t="shared" si="24"/>
        <v>157273.42245454888</v>
      </c>
      <c r="J290">
        <f t="shared" si="25"/>
        <v>45653.951199843665</v>
      </c>
    </row>
    <row r="291" spans="1:10" x14ac:dyDescent="0.25">
      <c r="A291" t="str">
        <f t="shared" si="21"/>
        <v>2016</v>
      </c>
      <c r="B291" t="str">
        <f t="shared" si="22"/>
        <v>février</v>
      </c>
      <c r="C291" s="7" t="s">
        <v>467</v>
      </c>
      <c r="D291">
        <v>1531.2619047619</v>
      </c>
      <c r="E291" s="7">
        <v>95.454379821872905</v>
      </c>
      <c r="F291">
        <v>290</v>
      </c>
      <c r="G291">
        <f t="shared" si="23"/>
        <v>2093.8440247746366</v>
      </c>
      <c r="H291">
        <f>(D291-G291)^2</f>
        <v>316498.64175802516</v>
      </c>
      <c r="I291">
        <f t="shared" si="24"/>
        <v>120003.51038674425</v>
      </c>
      <c r="J291">
        <f t="shared" si="25"/>
        <v>46728.12507985776</v>
      </c>
    </row>
    <row r="292" spans="1:10" x14ac:dyDescent="0.25">
      <c r="A292" t="str">
        <f t="shared" si="21"/>
        <v>2016</v>
      </c>
      <c r="B292" t="str">
        <f t="shared" si="22"/>
        <v>Mars</v>
      </c>
      <c r="C292" s="7" t="s">
        <v>501</v>
      </c>
      <c r="D292">
        <v>1531.0119047619</v>
      </c>
      <c r="E292" s="7">
        <v>95.438795554490994</v>
      </c>
      <c r="F292">
        <v>291</v>
      </c>
      <c r="G292">
        <f t="shared" si="23"/>
        <v>2096.3430639853786</v>
      </c>
      <c r="H292">
        <f>(D292-G292)^2</f>
        <v>319599.31958896213</v>
      </c>
      <c r="I292">
        <f t="shared" si="24"/>
        <v>120176.78050088603</v>
      </c>
      <c r="J292">
        <f t="shared" si="25"/>
        <v>47814.789353825508</v>
      </c>
    </row>
    <row r="293" spans="1:10" x14ac:dyDescent="0.25">
      <c r="A293" t="str">
        <f t="shared" si="21"/>
        <v>2016</v>
      </c>
      <c r="B293" t="str">
        <f t="shared" si="22"/>
        <v>Avril</v>
      </c>
      <c r="C293" s="7" t="s">
        <v>535</v>
      </c>
      <c r="D293">
        <v>1571.2261904761899</v>
      </c>
      <c r="E293" s="7">
        <v>97.945636279059002</v>
      </c>
      <c r="F293">
        <v>292</v>
      </c>
      <c r="G293">
        <f t="shared" si="23"/>
        <v>2098.8421031961207</v>
      </c>
      <c r="H293">
        <f>(D293-G293)^2</f>
        <v>278378.55135528557</v>
      </c>
      <c r="I293">
        <f t="shared" si="24"/>
        <v>93912.18020158814</v>
      </c>
      <c r="J293">
        <f t="shared" si="25"/>
        <v>48913.944021746902</v>
      </c>
    </row>
    <row r="294" spans="1:10" x14ac:dyDescent="0.25">
      <c r="A294" t="str">
        <f t="shared" si="21"/>
        <v>2016</v>
      </c>
      <c r="B294" t="str">
        <f t="shared" si="22"/>
        <v>Mai</v>
      </c>
      <c r="C294" s="7" t="s">
        <v>569</v>
      </c>
      <c r="D294">
        <v>1550.625</v>
      </c>
      <c r="E294" s="7">
        <v>96.661418435996595</v>
      </c>
      <c r="F294">
        <v>293</v>
      </c>
      <c r="G294">
        <f t="shared" si="23"/>
        <v>2101.3411424068627</v>
      </c>
      <c r="H294">
        <f>(D294-G294)^2</f>
        <v>303288.26950749586</v>
      </c>
      <c r="I294">
        <f t="shared" si="24"/>
        <v>106963.09772957893</v>
      </c>
      <c r="J294">
        <f t="shared" si="25"/>
        <v>50025.589083621955</v>
      </c>
    </row>
    <row r="295" spans="1:10" x14ac:dyDescent="0.25">
      <c r="A295" t="str">
        <f t="shared" si="21"/>
        <v>2016</v>
      </c>
      <c r="B295" t="str">
        <f t="shared" si="22"/>
        <v>Juin</v>
      </c>
      <c r="C295" s="7" t="s">
        <v>603</v>
      </c>
      <c r="D295">
        <v>1593.5068181818201</v>
      </c>
      <c r="E295" s="7">
        <v>99.334545317459899</v>
      </c>
      <c r="F295">
        <v>294</v>
      </c>
      <c r="G295">
        <f t="shared" si="23"/>
        <v>2103.8401816176047</v>
      </c>
      <c r="H295">
        <f>(D295-G295)^2</f>
        <v>260440.14183568058</v>
      </c>
      <c r="I295">
        <f t="shared" si="24"/>
        <v>80752.767849694734</v>
      </c>
      <c r="J295">
        <f t="shared" si="25"/>
        <v>51149.724539450654</v>
      </c>
    </row>
    <row r="296" spans="1:10" x14ac:dyDescent="0.25">
      <c r="A296" t="str">
        <f t="shared" si="21"/>
        <v>2016</v>
      </c>
      <c r="B296" t="str">
        <f t="shared" si="22"/>
        <v>Juillet</v>
      </c>
      <c r="C296" s="7" t="s">
        <v>637</v>
      </c>
      <c r="D296">
        <v>1629.0476190476199</v>
      </c>
      <c r="E296" s="7">
        <v>101.550054692092</v>
      </c>
      <c r="F296">
        <v>295</v>
      </c>
      <c r="G296">
        <f t="shared" si="23"/>
        <v>2106.3392208283467</v>
      </c>
      <c r="H296">
        <f>(D296-G296)^2</f>
        <v>227807.27313041184</v>
      </c>
      <c r="I296">
        <f t="shared" si="24"/>
        <v>61816.635230797328</v>
      </c>
      <c r="J296">
        <f t="shared" si="25"/>
        <v>52286.350389233012</v>
      </c>
    </row>
    <row r="297" spans="1:10" x14ac:dyDescent="0.25">
      <c r="A297" t="str">
        <f t="shared" si="21"/>
        <v>2016</v>
      </c>
      <c r="B297" t="str">
        <f t="shared" si="22"/>
        <v>Août</v>
      </c>
      <c r="C297" s="7" t="s">
        <v>671</v>
      </c>
      <c r="D297">
        <v>1639.2840909090901</v>
      </c>
      <c r="E297" s="7">
        <v>102.188166350237</v>
      </c>
      <c r="F297">
        <v>296</v>
      </c>
      <c r="G297">
        <f t="shared" si="23"/>
        <v>2108.8382600390887</v>
      </c>
      <c r="H297">
        <f>(D297-G297)^2</f>
        <v>220481.11774736334</v>
      </c>
      <c r="I297">
        <f t="shared" si="24"/>
        <v>56831.242539028426</v>
      </c>
      <c r="J297">
        <f t="shared" si="25"/>
        <v>53435.466632969015</v>
      </c>
    </row>
    <row r="298" spans="1:10" x14ac:dyDescent="0.25">
      <c r="A298" t="str">
        <f t="shared" si="21"/>
        <v>2016</v>
      </c>
      <c r="B298" t="str">
        <f t="shared" si="22"/>
        <v>Septembre</v>
      </c>
      <c r="C298" s="7" t="s">
        <v>705</v>
      </c>
      <c r="D298">
        <v>1592.3636363636399</v>
      </c>
      <c r="E298" s="7">
        <v>99.2632827129774</v>
      </c>
      <c r="F298">
        <v>297</v>
      </c>
      <c r="G298">
        <f t="shared" si="23"/>
        <v>2111.3372992498307</v>
      </c>
      <c r="H298">
        <f>(D298-G298)^2</f>
        <v>269333.66276950965</v>
      </c>
      <c r="I298">
        <f t="shared" si="24"/>
        <v>81403.791388801445</v>
      </c>
      <c r="J298">
        <f t="shared" si="25"/>
        <v>54597.073270658671</v>
      </c>
    </row>
    <row r="299" spans="1:10" x14ac:dyDescent="0.25">
      <c r="A299" t="str">
        <f t="shared" si="21"/>
        <v>2016</v>
      </c>
      <c r="B299" t="str">
        <f t="shared" si="22"/>
        <v>Octobre</v>
      </c>
      <c r="C299" s="7" t="s">
        <v>739</v>
      </c>
      <c r="D299">
        <v>1665.9047619047601</v>
      </c>
      <c r="E299" s="7">
        <v>103.847620968961</v>
      </c>
      <c r="F299">
        <v>298</v>
      </c>
      <c r="G299">
        <f t="shared" si="23"/>
        <v>2113.8363384605727</v>
      </c>
      <c r="H299">
        <f>(D299-G299)^2</f>
        <v>200642.69727577583</v>
      </c>
      <c r="I299">
        <f t="shared" si="24"/>
        <v>44847.537178550243</v>
      </c>
      <c r="J299">
        <f t="shared" si="25"/>
        <v>55771.170302301987</v>
      </c>
    </row>
    <row r="300" spans="1:10" x14ac:dyDescent="0.25">
      <c r="A300" t="str">
        <f t="shared" si="21"/>
        <v>2016</v>
      </c>
      <c r="B300" t="str">
        <f t="shared" si="22"/>
        <v>Novembre</v>
      </c>
      <c r="C300" s="7" t="s">
        <v>773</v>
      </c>
      <c r="D300">
        <v>1737.1136363636399</v>
      </c>
      <c r="E300" s="7">
        <v>108.28657352707501</v>
      </c>
      <c r="F300">
        <v>299</v>
      </c>
      <c r="G300">
        <f t="shared" si="23"/>
        <v>2116.3353776713147</v>
      </c>
      <c r="H300">
        <f>(D300-G300)^2</f>
        <v>143809.12908042507</v>
      </c>
      <c r="I300">
        <f t="shared" si="24"/>
        <v>19758.096599417328</v>
      </c>
      <c r="J300">
        <f t="shared" si="25"/>
        <v>56957.757727898948</v>
      </c>
    </row>
    <row r="301" spans="1:10" x14ac:dyDescent="0.25">
      <c r="A301" t="str">
        <f t="shared" si="21"/>
        <v>2016</v>
      </c>
      <c r="B301" t="str">
        <f t="shared" si="22"/>
        <v>Décembre</v>
      </c>
      <c r="C301" s="7" t="s">
        <v>806</v>
      </c>
      <c r="D301">
        <v>1727.7375</v>
      </c>
      <c r="E301" s="7">
        <v>107.70209266267599</v>
      </c>
      <c r="F301">
        <v>300</v>
      </c>
      <c r="G301">
        <f t="shared" si="23"/>
        <v>2118.8344168820568</v>
      </c>
      <c r="H301">
        <f>(D301-G301)^2</f>
        <v>152956.79839465045</v>
      </c>
      <c r="I301">
        <f t="shared" si="24"/>
        <v>22481.893557804309</v>
      </c>
      <c r="J301">
        <f t="shared" si="25"/>
        <v>58156.835547449562</v>
      </c>
    </row>
    <row r="302" spans="1:10" x14ac:dyDescent="0.25">
      <c r="A302" t="str">
        <f t="shared" si="21"/>
        <v>2017</v>
      </c>
      <c r="B302" t="str">
        <f t="shared" si="22"/>
        <v>Janvier</v>
      </c>
      <c r="C302" s="7" t="s">
        <v>434</v>
      </c>
      <c r="D302">
        <v>1791.2380952381</v>
      </c>
      <c r="E302" s="7">
        <v>111.660533683068</v>
      </c>
      <c r="F302">
        <v>301</v>
      </c>
      <c r="G302">
        <f t="shared" si="23"/>
        <v>2121.3334560927992</v>
      </c>
      <c r="H302">
        <f>(D302-G302)^2</f>
        <v>108962.94725779412</v>
      </c>
      <c r="I302">
        <f t="shared" si="24"/>
        <v>7471.7072570605451</v>
      </c>
      <c r="J302">
        <f t="shared" si="25"/>
        <v>59368.403760954046</v>
      </c>
    </row>
    <row r="303" spans="1:10" x14ac:dyDescent="0.25">
      <c r="A303" t="str">
        <f t="shared" si="21"/>
        <v>2017</v>
      </c>
      <c r="B303" t="str">
        <f t="shared" si="22"/>
        <v>février</v>
      </c>
      <c r="C303" s="7" t="s">
        <v>468</v>
      </c>
      <c r="D303">
        <v>1860.75</v>
      </c>
      <c r="E303" s="7">
        <v>115.993702123196</v>
      </c>
      <c r="F303">
        <v>302</v>
      </c>
      <c r="G303">
        <f t="shared" si="23"/>
        <v>2123.8324953035412</v>
      </c>
      <c r="H303">
        <f>(D303-G303)^2</f>
        <v>69212.399335137801</v>
      </c>
      <c r="I303">
        <f t="shared" si="24"/>
        <v>286.5278331383762</v>
      </c>
      <c r="J303">
        <f t="shared" si="25"/>
        <v>60592.462368411972</v>
      </c>
    </row>
    <row r="304" spans="1:10" x14ac:dyDescent="0.25">
      <c r="A304" t="str">
        <f t="shared" si="21"/>
        <v>2017</v>
      </c>
      <c r="B304" t="str">
        <f t="shared" si="22"/>
        <v>Mars</v>
      </c>
      <c r="C304" s="7" t="s">
        <v>502</v>
      </c>
      <c r="D304">
        <v>1901.46739130435</v>
      </c>
      <c r="E304" s="7">
        <v>118.531904975911</v>
      </c>
      <c r="F304">
        <v>303</v>
      </c>
      <c r="G304">
        <f t="shared" si="23"/>
        <v>2126.3315345142832</v>
      </c>
      <c r="H304">
        <f>(D304-G304)^2</f>
        <v>50563.882901537356</v>
      </c>
      <c r="I304">
        <f t="shared" si="24"/>
        <v>565.97638802514598</v>
      </c>
      <c r="J304">
        <f t="shared" si="25"/>
        <v>61829.011369823544</v>
      </c>
    </row>
    <row r="305" spans="1:10" x14ac:dyDescent="0.25">
      <c r="A305" t="str">
        <f t="shared" si="21"/>
        <v>2017</v>
      </c>
      <c r="B305" t="str">
        <f t="shared" si="22"/>
        <v>Avril</v>
      </c>
      <c r="C305" s="7" t="s">
        <v>536</v>
      </c>
      <c r="D305">
        <v>1921.2222222222199</v>
      </c>
      <c r="E305" s="7">
        <v>119.763363244342</v>
      </c>
      <c r="F305">
        <v>304</v>
      </c>
      <c r="G305">
        <f t="shared" si="23"/>
        <v>2128.8305737250253</v>
      </c>
      <c r="H305">
        <f>(D305-G305)^2</f>
        <v>43101.227613712384</v>
      </c>
      <c r="I305">
        <f t="shared" si="24"/>
        <v>1896.1747914128152</v>
      </c>
      <c r="J305">
        <f t="shared" si="25"/>
        <v>63078.050765188767</v>
      </c>
    </row>
    <row r="306" spans="1:10" x14ac:dyDescent="0.25">
      <c r="A306" t="str">
        <f t="shared" si="21"/>
        <v>2017</v>
      </c>
      <c r="B306" t="str">
        <f t="shared" si="22"/>
        <v>Mai</v>
      </c>
      <c r="C306" s="7" t="s">
        <v>570</v>
      </c>
      <c r="D306">
        <v>1913.0238095238101</v>
      </c>
      <c r="E306" s="7">
        <v>119.25229822194601</v>
      </c>
      <c r="F306">
        <v>305</v>
      </c>
      <c r="G306">
        <f t="shared" si="23"/>
        <v>2131.3296129357673</v>
      </c>
      <c r="H306">
        <f>(D306-G306)^2</f>
        <v>47657.423803340098</v>
      </c>
      <c r="I306">
        <f t="shared" si="24"/>
        <v>1249.3875380658317</v>
      </c>
      <c r="J306">
        <f t="shared" si="25"/>
        <v>64339.580554507644</v>
      </c>
    </row>
    <row r="307" spans="1:10" x14ac:dyDescent="0.25">
      <c r="A307" t="str">
        <f t="shared" si="21"/>
        <v>2017</v>
      </c>
      <c r="B307" t="str">
        <f t="shared" si="22"/>
        <v>Juin</v>
      </c>
      <c r="C307" s="7" t="s">
        <v>604</v>
      </c>
      <c r="D307">
        <v>1885.28636363636</v>
      </c>
      <c r="E307" s="7">
        <v>117.523227129147</v>
      </c>
      <c r="F307">
        <v>306</v>
      </c>
      <c r="G307">
        <f t="shared" si="23"/>
        <v>2133.8286521465093</v>
      </c>
      <c r="H307">
        <f>(D307-G307)^2</f>
        <v>61773.269177862305</v>
      </c>
      <c r="I307">
        <f t="shared" si="24"/>
        <v>57.900390185635175</v>
      </c>
      <c r="J307">
        <f t="shared" si="25"/>
        <v>65613.600737780172</v>
      </c>
    </row>
    <row r="308" spans="1:10" x14ac:dyDescent="0.25">
      <c r="A308" t="str">
        <f t="shared" si="21"/>
        <v>2017</v>
      </c>
      <c r="B308" t="str">
        <f t="shared" si="22"/>
        <v>Juillet</v>
      </c>
      <c r="C308" s="7" t="s">
        <v>638</v>
      </c>
      <c r="D308">
        <v>1902.9642857142901</v>
      </c>
      <c r="E308" s="7">
        <v>118.625216986819</v>
      </c>
      <c r="F308">
        <v>307</v>
      </c>
      <c r="G308">
        <f t="shared" si="23"/>
        <v>2136.3276913572513</v>
      </c>
      <c r="H308">
        <f>(D308-G308)^2</f>
        <v>54458.479093281254</v>
      </c>
      <c r="I308">
        <f t="shared" si="24"/>
        <v>639.44009009721083</v>
      </c>
      <c r="J308">
        <f t="shared" si="25"/>
        <v>66900.111315006361</v>
      </c>
    </row>
    <row r="309" spans="1:10" x14ac:dyDescent="0.25">
      <c r="A309" t="str">
        <f t="shared" si="21"/>
        <v>2017</v>
      </c>
      <c r="B309" t="str">
        <f t="shared" si="22"/>
        <v>Août</v>
      </c>
      <c r="C309" s="7" t="s">
        <v>672</v>
      </c>
      <c r="D309">
        <v>2030.0113636363601</v>
      </c>
      <c r="E309" s="7">
        <v>126.544959516506</v>
      </c>
      <c r="F309">
        <v>308</v>
      </c>
      <c r="G309">
        <f t="shared" si="23"/>
        <v>2138.8267305679933</v>
      </c>
      <c r="H309">
        <f>(D309-G309)^2</f>
        <v>11840.784080465974</v>
      </c>
      <c r="I309">
        <f t="shared" si="24"/>
        <v>23205.717809724472</v>
      </c>
      <c r="J309">
        <f t="shared" si="25"/>
        <v>68199.112286186195</v>
      </c>
    </row>
    <row r="310" spans="1:10" x14ac:dyDescent="0.25">
      <c r="A310" t="str">
        <f t="shared" si="21"/>
        <v>2017</v>
      </c>
      <c r="B310" t="str">
        <f t="shared" si="22"/>
        <v>Septembre</v>
      </c>
      <c r="C310" s="7" t="s">
        <v>706</v>
      </c>
      <c r="D310">
        <v>2096.4880952381</v>
      </c>
      <c r="E310" s="7">
        <v>130.68892415632101</v>
      </c>
      <c r="F310">
        <v>309</v>
      </c>
      <c r="G310">
        <f t="shared" si="23"/>
        <v>2141.3257697787353</v>
      </c>
      <c r="H310">
        <f>(D310-G310)^2</f>
        <v>2010.4170582119405</v>
      </c>
      <c r="I310">
        <f t="shared" si="24"/>
        <v>47878.237175673152</v>
      </c>
      <c r="J310">
        <f t="shared" si="25"/>
        <v>69510.603651319674</v>
      </c>
    </row>
    <row r="311" spans="1:10" x14ac:dyDescent="0.25">
      <c r="A311" t="str">
        <f t="shared" si="21"/>
        <v>2017</v>
      </c>
      <c r="B311" t="str">
        <f t="shared" si="22"/>
        <v>Octobre</v>
      </c>
      <c r="C311" s="7" t="s">
        <v>740</v>
      </c>
      <c r="D311">
        <v>2131.4886363636401</v>
      </c>
      <c r="E311" s="7">
        <v>132.87075532196201</v>
      </c>
      <c r="F311">
        <v>310</v>
      </c>
      <c r="G311">
        <f t="shared" si="23"/>
        <v>2143.8248089894773</v>
      </c>
      <c r="H311">
        <f>(D311-G311)^2</f>
        <v>152.18115505445525</v>
      </c>
      <c r="I311">
        <f t="shared" si="24"/>
        <v>64420.279216639472</v>
      </c>
      <c r="J311">
        <f t="shared" si="25"/>
        <v>70834.585410406813</v>
      </c>
    </row>
    <row r="312" spans="1:10" x14ac:dyDescent="0.25">
      <c r="A312" t="str">
        <f t="shared" si="21"/>
        <v>2017</v>
      </c>
      <c r="B312" t="str">
        <f t="shared" si="22"/>
        <v>Novembre</v>
      </c>
      <c r="C312" s="7" t="s">
        <v>774</v>
      </c>
      <c r="D312">
        <v>2097.4409090909098</v>
      </c>
      <c r="E312" s="7">
        <v>130.74831977970999</v>
      </c>
      <c r="F312">
        <v>311</v>
      </c>
      <c r="G312">
        <f t="shared" si="23"/>
        <v>2146.3238482002193</v>
      </c>
      <c r="H312">
        <f>(D312-G312)^2</f>
        <v>2389.5417359644621</v>
      </c>
      <c r="I312">
        <f t="shared" si="24"/>
        <v>48296.117261758882</v>
      </c>
      <c r="J312">
        <f t="shared" si="25"/>
        <v>72171.057563447612</v>
      </c>
    </row>
    <row r="313" spans="1:10" x14ac:dyDescent="0.25">
      <c r="A313" t="str">
        <f t="shared" si="21"/>
        <v>2017</v>
      </c>
      <c r="B313" t="str">
        <f t="shared" si="22"/>
        <v>Décembre</v>
      </c>
      <c r="C313" s="7" t="s">
        <v>807</v>
      </c>
      <c r="D313">
        <v>2080.4736842105299</v>
      </c>
      <c r="E313" s="7">
        <v>129.690632702654</v>
      </c>
      <c r="F313">
        <v>312</v>
      </c>
      <c r="G313">
        <f t="shared" si="23"/>
        <v>2148.8228874109614</v>
      </c>
      <c r="H313">
        <f>(D313-G313)^2</f>
        <v>4671.6135781338726</v>
      </c>
      <c r="I313">
        <f t="shared" si="24"/>
        <v>41126.441164450735</v>
      </c>
      <c r="J313">
        <f t="shared" si="25"/>
        <v>73520.020110442041</v>
      </c>
    </row>
    <row r="314" spans="1:10" x14ac:dyDescent="0.25">
      <c r="A314" t="str">
        <f t="shared" si="21"/>
        <v>2018</v>
      </c>
      <c r="B314" t="str">
        <f t="shared" si="22"/>
        <v>Janvier</v>
      </c>
      <c r="C314" s="7" t="s">
        <v>435</v>
      </c>
      <c r="D314">
        <v>2209.7272727272698</v>
      </c>
      <c r="E314" s="7">
        <v>137.74792263669499</v>
      </c>
      <c r="F314">
        <v>313</v>
      </c>
      <c r="G314">
        <f t="shared" si="23"/>
        <v>2151.3219266217034</v>
      </c>
      <c r="H314">
        <f>(D314-G314)^2</f>
        <v>3411.1844537110028</v>
      </c>
      <c r="I314">
        <f t="shared" si="24"/>
        <v>110257.29526271582</v>
      </c>
      <c r="J314">
        <f t="shared" si="25"/>
        <v>74881.473051390145</v>
      </c>
    </row>
    <row r="315" spans="1:10" x14ac:dyDescent="0.25">
      <c r="A315" t="str">
        <f t="shared" si="21"/>
        <v>2018</v>
      </c>
      <c r="B315" t="str">
        <f t="shared" si="22"/>
        <v>février</v>
      </c>
      <c r="C315" s="7" t="s">
        <v>469</v>
      </c>
      <c r="D315">
        <v>2181.7874999999999</v>
      </c>
      <c r="E315" s="7">
        <v>136.00623908161401</v>
      </c>
      <c r="F315">
        <v>314</v>
      </c>
      <c r="G315">
        <f t="shared" si="23"/>
        <v>2153.8209658324458</v>
      </c>
      <c r="H315">
        <f>(D315-G315)^2</f>
        <v>782.12703334496939</v>
      </c>
      <c r="I315">
        <f t="shared" si="24"/>
        <v>92483.115289230802</v>
      </c>
      <c r="J315">
        <f t="shared" si="25"/>
        <v>76255.416386292141</v>
      </c>
    </row>
    <row r="316" spans="1:10" x14ac:dyDescent="0.25">
      <c r="A316" t="str">
        <f t="shared" si="21"/>
        <v>2018</v>
      </c>
      <c r="B316" t="str">
        <f t="shared" si="22"/>
        <v>Mars</v>
      </c>
      <c r="C316" s="7" t="s">
        <v>503</v>
      </c>
      <c r="D316">
        <v>2069.2380952381</v>
      </c>
      <c r="E316" s="7">
        <v>128.99023901169801</v>
      </c>
      <c r="F316">
        <v>315</v>
      </c>
      <c r="G316">
        <f t="shared" si="23"/>
        <v>2156.3200050431878</v>
      </c>
      <c r="H316">
        <f>(D316-G316)^2</f>
        <v>7583.2590153014626</v>
      </c>
      <c r="I316">
        <f t="shared" si="24"/>
        <v>36695.602236173741</v>
      </c>
      <c r="J316">
        <f t="shared" si="25"/>
        <v>77641.850115147536</v>
      </c>
    </row>
    <row r="317" spans="1:10" x14ac:dyDescent="0.25">
      <c r="A317" t="str">
        <f t="shared" si="21"/>
        <v>2018</v>
      </c>
      <c r="B317" t="str">
        <f t="shared" si="22"/>
        <v>Avril</v>
      </c>
      <c r="C317" s="7" t="s">
        <v>537</v>
      </c>
      <c r="D317">
        <v>2254.6875</v>
      </c>
      <c r="E317" s="7">
        <v>140.55061145016401</v>
      </c>
      <c r="F317">
        <v>316</v>
      </c>
      <c r="G317">
        <f t="shared" si="23"/>
        <v>2158.8190442539299</v>
      </c>
      <c r="H317">
        <f>(D317-G317)^2</f>
        <v>9190.7608071362083</v>
      </c>
      <c r="I317">
        <f t="shared" si="24"/>
        <v>142136.81679120421</v>
      </c>
      <c r="J317">
        <f t="shared" si="25"/>
        <v>79040.77423795659</v>
      </c>
    </row>
    <row r="318" spans="1:10" x14ac:dyDescent="0.25">
      <c r="A318" t="str">
        <f t="shared" si="21"/>
        <v>2018</v>
      </c>
      <c r="B318" t="str">
        <f t="shared" si="22"/>
        <v>Mai</v>
      </c>
      <c r="C318" s="7" t="s">
        <v>571</v>
      </c>
      <c r="D318">
        <v>2299.6666666666702</v>
      </c>
      <c r="E318" s="7">
        <v>143.35448088995099</v>
      </c>
      <c r="F318">
        <v>317</v>
      </c>
      <c r="G318">
        <f t="shared" si="23"/>
        <v>2161.3180834646719</v>
      </c>
      <c r="H318">
        <f>(D318-G318)^2</f>
        <v>19140.330474000242</v>
      </c>
      <c r="I318">
        <f t="shared" si="24"/>
        <v>178075.16648585463</v>
      </c>
      <c r="J318">
        <f t="shared" si="25"/>
        <v>80452.188754719304</v>
      </c>
    </row>
    <row r="319" spans="1:10" x14ac:dyDescent="0.25">
      <c r="A319" t="str">
        <f t="shared" si="21"/>
        <v>2018</v>
      </c>
      <c r="B319" t="str">
        <f t="shared" si="22"/>
        <v>Juin</v>
      </c>
      <c r="C319" s="7" t="s">
        <v>605</v>
      </c>
      <c r="D319">
        <v>2237.61904761905</v>
      </c>
      <c r="E319" s="7">
        <v>139.48661414736699</v>
      </c>
      <c r="F319">
        <v>318</v>
      </c>
      <c r="G319">
        <f t="shared" si="23"/>
        <v>2163.8171226754139</v>
      </c>
      <c r="H319">
        <f>(D319-G319)^2</f>
        <v>5446.7241253860957</v>
      </c>
      <c r="I319">
        <f t="shared" si="24"/>
        <v>129558.18186690852</v>
      </c>
      <c r="J319">
        <f t="shared" si="25"/>
        <v>81876.093665435663</v>
      </c>
    </row>
    <row r="320" spans="1:10" x14ac:dyDescent="0.25">
      <c r="A320" t="str">
        <f t="shared" si="21"/>
        <v>2018</v>
      </c>
      <c r="B320" t="str">
        <f t="shared" si="22"/>
        <v>Juillet</v>
      </c>
      <c r="C320" s="7" t="s">
        <v>639</v>
      </c>
      <c r="D320">
        <v>2082.2386363636401</v>
      </c>
      <c r="E320" s="7">
        <v>129.800654647735</v>
      </c>
      <c r="F320">
        <v>319</v>
      </c>
      <c r="G320">
        <f t="shared" si="23"/>
        <v>2166.3161618861559</v>
      </c>
      <c r="H320">
        <f>(D320-G320)^2</f>
        <v>7069.0302979892904</v>
      </c>
      <c r="I320">
        <f t="shared" si="24"/>
        <v>41845.408639797781</v>
      </c>
      <c r="J320">
        <f t="shared" si="25"/>
        <v>83312.488970105667</v>
      </c>
    </row>
    <row r="321" spans="1:10" x14ac:dyDescent="0.25">
      <c r="A321" t="str">
        <f t="shared" si="21"/>
        <v>2018</v>
      </c>
      <c r="B321" t="str">
        <f t="shared" si="22"/>
        <v>Août</v>
      </c>
      <c r="C321" s="7" t="s">
        <v>673</v>
      </c>
      <c r="D321">
        <v>2051.5113636363599</v>
      </c>
      <c r="E321" s="7">
        <v>127.885206511346</v>
      </c>
      <c r="F321">
        <v>320</v>
      </c>
      <c r="G321">
        <f t="shared" si="23"/>
        <v>2168.8152010968979</v>
      </c>
      <c r="H321">
        <f>(D321-G321)^2</f>
        <v>13760.190282968326</v>
      </c>
      <c r="I321">
        <f t="shared" si="24"/>
        <v>30218.339725133515</v>
      </c>
      <c r="J321">
        <f t="shared" si="25"/>
        <v>84761.374668729331</v>
      </c>
    </row>
    <row r="322" spans="1:10" x14ac:dyDescent="0.25">
      <c r="A322" t="str">
        <f t="shared" si="21"/>
        <v>2018</v>
      </c>
      <c r="B322" t="str">
        <f t="shared" si="22"/>
        <v>Septembre</v>
      </c>
      <c r="C322" s="7" t="s">
        <v>707</v>
      </c>
      <c r="D322">
        <v>2026.4625000000001</v>
      </c>
      <c r="E322" s="7">
        <v>126.323733757263</v>
      </c>
      <c r="F322">
        <v>321</v>
      </c>
      <c r="G322">
        <f t="shared" si="23"/>
        <v>2171.3142403076399</v>
      </c>
      <c r="H322">
        <f>(D322-G322)^2</f>
        <v>20982.026670151929</v>
      </c>
      <c r="I322">
        <f t="shared" si="24"/>
        <v>22137.085419800031</v>
      </c>
      <c r="J322">
        <f t="shared" si="25"/>
        <v>86222.750761306641</v>
      </c>
    </row>
    <row r="323" spans="1:10" x14ac:dyDescent="0.25">
      <c r="A323" t="str">
        <f t="shared" ref="A323:A386" si="26">LEFT(C323,4)</f>
        <v>2018</v>
      </c>
      <c r="B323" t="str">
        <f t="shared" ref="B323:B386" si="27">MID(C323,6,10)</f>
        <v>Octobre</v>
      </c>
      <c r="C323" s="7" t="s">
        <v>741</v>
      </c>
      <c r="D323">
        <v>2029.8586956521699</v>
      </c>
      <c r="E323" s="7">
        <v>126.53544264176099</v>
      </c>
      <c r="F323">
        <v>322</v>
      </c>
      <c r="G323">
        <f t="shared" ref="G323:G386" si="28">SLOPE($D$2:$D$407,$F$2:$F$407)*F323+INTERCEPT($D$2:$D$407,$F$2:$F$407)</f>
        <v>2173.8132795183819</v>
      </c>
      <c r="H323">
        <f>(D323-G323)^2</f>
        <v>20722.922216094274</v>
      </c>
      <c r="I323">
        <f t="shared" ref="I323:I386" si="29">(D323-AVERAGE($D$2:$D$407))^2</f>
        <v>23159.227997422913</v>
      </c>
      <c r="J323">
        <f t="shared" ref="J323:J386" si="30">(G323-AVERAGE($D$2:$D$407))^2</f>
        <v>87696.61724783761</v>
      </c>
    </row>
    <row r="324" spans="1:10" x14ac:dyDescent="0.25">
      <c r="A324" t="str">
        <f t="shared" si="26"/>
        <v>2018</v>
      </c>
      <c r="B324" t="str">
        <f t="shared" si="27"/>
        <v>Novembre</v>
      </c>
      <c r="C324" s="7" t="s">
        <v>775</v>
      </c>
      <c r="D324">
        <v>1938.5113636363601</v>
      </c>
      <c r="E324" s="7">
        <v>120.84111765474501</v>
      </c>
      <c r="F324">
        <v>323</v>
      </c>
      <c r="G324">
        <f t="shared" si="28"/>
        <v>2176.3123187291239</v>
      </c>
      <c r="H324">
        <f>(D324-G324)^2</f>
        <v>56549.294243030687</v>
      </c>
      <c r="I324">
        <f t="shared" si="29"/>
        <v>3700.8036115879836</v>
      </c>
      <c r="J324">
        <f t="shared" si="30"/>
        <v>89182.974128322225</v>
      </c>
    </row>
    <row r="325" spans="1:10" x14ac:dyDescent="0.25">
      <c r="A325" t="str">
        <f t="shared" si="26"/>
        <v>2018</v>
      </c>
      <c r="B325" t="str">
        <f t="shared" si="27"/>
        <v>Décembre</v>
      </c>
      <c r="C325" s="7" t="s">
        <v>808</v>
      </c>
      <c r="D325">
        <v>1920.3815789473699</v>
      </c>
      <c r="E325" s="7">
        <v>119.710960006069</v>
      </c>
      <c r="F325">
        <v>324</v>
      </c>
      <c r="G325">
        <f t="shared" si="28"/>
        <v>2178.811357939866</v>
      </c>
      <c r="H325">
        <f>(D325-G325)^2</f>
        <v>66785.950670110353</v>
      </c>
      <c r="I325">
        <f t="shared" si="29"/>
        <v>1823.6696997899776</v>
      </c>
      <c r="J325">
        <f t="shared" si="30"/>
        <v>90681.821402760499</v>
      </c>
    </row>
    <row r="326" spans="1:10" x14ac:dyDescent="0.25">
      <c r="A326" t="str">
        <f t="shared" si="26"/>
        <v>2019</v>
      </c>
      <c r="B326" t="str">
        <f t="shared" si="27"/>
        <v>Janvier</v>
      </c>
      <c r="C326" s="7" t="s">
        <v>436</v>
      </c>
      <c r="D326">
        <v>1853.7159090909099</v>
      </c>
      <c r="E326" s="7">
        <v>115.555217509134</v>
      </c>
      <c r="F326">
        <v>325</v>
      </c>
      <c r="G326">
        <f t="shared" si="28"/>
        <v>2181.310397150608</v>
      </c>
      <c r="H326">
        <f>(D326-G326)^2</f>
        <v>107318.14860709565</v>
      </c>
      <c r="I326">
        <f t="shared" si="29"/>
        <v>574.14025339964076</v>
      </c>
      <c r="J326">
        <f t="shared" si="30"/>
        <v>92193.159071152419</v>
      </c>
    </row>
    <row r="327" spans="1:10" x14ac:dyDescent="0.25">
      <c r="A327" t="str">
        <f t="shared" si="26"/>
        <v>2019</v>
      </c>
      <c r="B327" t="str">
        <f t="shared" si="27"/>
        <v>février</v>
      </c>
      <c r="C327" s="7" t="s">
        <v>470</v>
      </c>
      <c r="D327">
        <v>1862.9875</v>
      </c>
      <c r="E327" s="7">
        <v>116.133181316264</v>
      </c>
      <c r="F327">
        <v>326</v>
      </c>
      <c r="G327">
        <f t="shared" si="28"/>
        <v>2183.80943636135</v>
      </c>
      <c r="H327">
        <f>(D327-G327)^2</f>
        <v>102926.71485064612</v>
      </c>
      <c r="I327">
        <f t="shared" si="29"/>
        <v>215.78531900998735</v>
      </c>
      <c r="J327">
        <f t="shared" si="30"/>
        <v>93716.987133497998</v>
      </c>
    </row>
    <row r="328" spans="1:10" x14ac:dyDescent="0.25">
      <c r="A328" t="str">
        <f t="shared" si="26"/>
        <v>2019</v>
      </c>
      <c r="B328" t="str">
        <f t="shared" si="27"/>
        <v>Mars</v>
      </c>
      <c r="C328" s="7" t="s">
        <v>504</v>
      </c>
      <c r="D328">
        <v>1871.2142857142901</v>
      </c>
      <c r="E328" s="7">
        <v>116.646015029322</v>
      </c>
      <c r="F328">
        <v>327</v>
      </c>
      <c r="G328">
        <f t="shared" si="28"/>
        <v>2186.308475572092</v>
      </c>
      <c r="H328">
        <f>(D328-G328)^2</f>
        <v>99284.348482144502</v>
      </c>
      <c r="I328">
        <f t="shared" si="29"/>
        <v>41.768395625884772</v>
      </c>
      <c r="J328">
        <f t="shared" si="30"/>
        <v>95253.305589797223</v>
      </c>
    </row>
    <row r="329" spans="1:10" x14ac:dyDescent="0.25">
      <c r="A329" t="str">
        <f t="shared" si="26"/>
        <v>2019</v>
      </c>
      <c r="B329" t="str">
        <f t="shared" si="27"/>
        <v>Avril</v>
      </c>
      <c r="C329" s="7" t="s">
        <v>538</v>
      </c>
      <c r="D329">
        <v>1845.425</v>
      </c>
      <c r="E329" s="7">
        <v>115.03838653268799</v>
      </c>
      <c r="F329">
        <v>328</v>
      </c>
      <c r="G329">
        <f t="shared" si="28"/>
        <v>2188.807514782834</v>
      </c>
      <c r="H329">
        <f>(D329-G329)^2</f>
        <v>117911.55145858324</v>
      </c>
      <c r="I329">
        <f t="shared" si="29"/>
        <v>1040.2000859814314</v>
      </c>
      <c r="J329">
        <f t="shared" si="30"/>
        <v>96802.114440050093</v>
      </c>
    </row>
    <row r="330" spans="1:10" x14ac:dyDescent="0.25">
      <c r="A330" t="str">
        <f t="shared" si="26"/>
        <v>2019</v>
      </c>
      <c r="B330" t="str">
        <f t="shared" si="27"/>
        <v>Mai</v>
      </c>
      <c r="C330" s="7" t="s">
        <v>572</v>
      </c>
      <c r="D330">
        <v>1781.2619047619</v>
      </c>
      <c r="E330" s="7">
        <v>111.038647203734</v>
      </c>
      <c r="F330">
        <v>329</v>
      </c>
      <c r="G330">
        <f t="shared" si="28"/>
        <v>2191.306553993576</v>
      </c>
      <c r="H330">
        <f>(D330-G330)^2</f>
        <v>168136.61436352818</v>
      </c>
      <c r="I330">
        <f t="shared" si="29"/>
        <v>9295.8962449691135</v>
      </c>
      <c r="J330">
        <f t="shared" si="30"/>
        <v>98363.413684256622</v>
      </c>
    </row>
    <row r="331" spans="1:10" x14ac:dyDescent="0.25">
      <c r="A331" t="str">
        <f t="shared" si="26"/>
        <v>2019</v>
      </c>
      <c r="B331" t="str">
        <f t="shared" si="27"/>
        <v>Juin</v>
      </c>
      <c r="C331" s="7" t="s">
        <v>606</v>
      </c>
      <c r="D331">
        <v>1755.95</v>
      </c>
      <c r="E331" s="7">
        <v>109.46077723672001</v>
      </c>
      <c r="F331">
        <v>330</v>
      </c>
      <c r="G331">
        <f t="shared" si="28"/>
        <v>2193.805593204318</v>
      </c>
      <c r="H331">
        <f>(D331-G331)^2</f>
        <v>191717.5205003052</v>
      </c>
      <c r="I331">
        <f t="shared" si="29"/>
        <v>14817.494919464752</v>
      </c>
      <c r="J331">
        <f t="shared" si="30"/>
        <v>99937.203322416812</v>
      </c>
    </row>
    <row r="332" spans="1:10" x14ac:dyDescent="0.25">
      <c r="A332" t="str">
        <f t="shared" si="26"/>
        <v>2019</v>
      </c>
      <c r="B332" t="str">
        <f t="shared" si="27"/>
        <v>Juillet</v>
      </c>
      <c r="C332" s="7" t="s">
        <v>640</v>
      </c>
      <c r="D332">
        <v>1796.98913043478</v>
      </c>
      <c r="E332" s="7">
        <v>112.019036363979</v>
      </c>
      <c r="F332">
        <v>331</v>
      </c>
      <c r="G332">
        <f t="shared" si="28"/>
        <v>2196.30463241506</v>
      </c>
      <c r="H332">
        <f>(D332-G332)^2</f>
        <v>159452.87012176303</v>
      </c>
      <c r="I332">
        <f t="shared" si="29"/>
        <v>6510.553765299539</v>
      </c>
      <c r="J332">
        <f t="shared" si="30"/>
        <v>101523.48335453065</v>
      </c>
    </row>
    <row r="333" spans="1:10" x14ac:dyDescent="0.25">
      <c r="A333" t="str">
        <f t="shared" si="26"/>
        <v>2019</v>
      </c>
      <c r="B333" t="str">
        <f t="shared" si="27"/>
        <v>Août</v>
      </c>
      <c r="C333" s="7" t="s">
        <v>674</v>
      </c>
      <c r="D333">
        <v>1740.67857142857</v>
      </c>
      <c r="E333" s="7">
        <v>108.508801132079</v>
      </c>
      <c r="F333">
        <v>332</v>
      </c>
      <c r="G333">
        <f t="shared" si="28"/>
        <v>2198.8036716258021</v>
      </c>
      <c r="H333">
        <f>(D333-G333)^2</f>
        <v>209878.60743072393</v>
      </c>
      <c r="I333">
        <f t="shared" si="29"/>
        <v>18768.605885094163</v>
      </c>
      <c r="J333">
        <f t="shared" si="30"/>
        <v>103122.25378059813</v>
      </c>
    </row>
    <row r="334" spans="1:10" x14ac:dyDescent="0.25">
      <c r="A334" t="str">
        <f t="shared" si="26"/>
        <v>2019</v>
      </c>
      <c r="B334" t="str">
        <f t="shared" si="27"/>
        <v>Septembre</v>
      </c>
      <c r="C334" s="7" t="s">
        <v>708</v>
      </c>
      <c r="D334">
        <v>1753.5119047619</v>
      </c>
      <c r="E334" s="7">
        <v>109.308793524348</v>
      </c>
      <c r="F334">
        <v>333</v>
      </c>
      <c r="G334">
        <f t="shared" si="28"/>
        <v>2201.3027108365441</v>
      </c>
      <c r="H334">
        <f>(D334-G334)^2</f>
        <v>200516.60600497946</v>
      </c>
      <c r="I334">
        <f t="shared" si="29"/>
        <v>15417.003914706154</v>
      </c>
      <c r="J334">
        <f t="shared" si="30"/>
        <v>104733.51460061927</v>
      </c>
    </row>
    <row r="335" spans="1:10" x14ac:dyDescent="0.25">
      <c r="A335" t="str">
        <f t="shared" si="26"/>
        <v>2019</v>
      </c>
      <c r="B335" t="str">
        <f t="shared" si="27"/>
        <v>Octobre</v>
      </c>
      <c r="C335" s="7" t="s">
        <v>742</v>
      </c>
      <c r="D335">
        <v>1725.95652173913</v>
      </c>
      <c r="E335" s="7">
        <v>107.59107169700199</v>
      </c>
      <c r="F335">
        <v>334</v>
      </c>
      <c r="G335">
        <f t="shared" si="28"/>
        <v>2203.8017500472861</v>
      </c>
      <c r="H335">
        <f>(D335-G335)^2</f>
        <v>228336.06221687378</v>
      </c>
      <c r="I335">
        <f t="shared" si="29"/>
        <v>23019.143895163521</v>
      </c>
      <c r="J335">
        <f t="shared" si="30"/>
        <v>106357.26581459407</v>
      </c>
    </row>
    <row r="336" spans="1:10" x14ac:dyDescent="0.25">
      <c r="A336" t="str">
        <f t="shared" si="26"/>
        <v>2019</v>
      </c>
      <c r="B336" t="str">
        <f t="shared" si="27"/>
        <v>Novembre</v>
      </c>
      <c r="C336" s="7" t="s">
        <v>776</v>
      </c>
      <c r="D336">
        <v>1774.7857142857099</v>
      </c>
      <c r="E336" s="7">
        <v>110.634940467747</v>
      </c>
      <c r="F336">
        <v>335</v>
      </c>
      <c r="G336">
        <f t="shared" si="28"/>
        <v>2206.3007892580285</v>
      </c>
      <c r="H336">
        <f>(D336-G336)^2</f>
        <v>186205.25992836579</v>
      </c>
      <c r="I336">
        <f t="shared" si="29"/>
        <v>10586.644054392262</v>
      </c>
      <c r="J336">
        <f t="shared" si="30"/>
        <v>107993.5074225228</v>
      </c>
    </row>
    <row r="337" spans="1:10" x14ac:dyDescent="0.25">
      <c r="A337" t="str">
        <f t="shared" si="26"/>
        <v>2019</v>
      </c>
      <c r="B337" t="str">
        <f t="shared" si="27"/>
        <v>Décembre</v>
      </c>
      <c r="C337" s="7" t="s">
        <v>809</v>
      </c>
      <c r="D337">
        <v>1771.38</v>
      </c>
      <c r="E337" s="7">
        <v>110.422638219528</v>
      </c>
      <c r="F337">
        <v>336</v>
      </c>
      <c r="G337">
        <f t="shared" si="28"/>
        <v>2208.7998284687706</v>
      </c>
      <c r="H337">
        <f>(D337-G337)^2</f>
        <v>191336.10633764855</v>
      </c>
      <c r="I337">
        <f t="shared" si="29"/>
        <v>11299.080493682142</v>
      </c>
      <c r="J337">
        <f t="shared" si="30"/>
        <v>109642.23942440491</v>
      </c>
    </row>
    <row r="338" spans="1:10" x14ac:dyDescent="0.25">
      <c r="A338" t="str">
        <f t="shared" si="26"/>
        <v>2020</v>
      </c>
      <c r="B338" t="str">
        <f t="shared" si="27"/>
        <v>Janvier</v>
      </c>
      <c r="C338" s="7" t="s">
        <v>437</v>
      </c>
      <c r="D338">
        <v>1773.0909090909099</v>
      </c>
      <c r="E338" s="7">
        <v>110.529291278483</v>
      </c>
      <c r="F338">
        <v>337</v>
      </c>
      <c r="G338">
        <f t="shared" si="28"/>
        <v>2211.2988676795126</v>
      </c>
      <c r="H338">
        <f>(D338-G338)^2</f>
        <v>192026.21497039049</v>
      </c>
      <c r="I338">
        <f t="shared" si="29"/>
        <v>10938.27824106928</v>
      </c>
      <c r="J338">
        <f t="shared" si="30"/>
        <v>111303.46182024066</v>
      </c>
    </row>
    <row r="339" spans="1:10" x14ac:dyDescent="0.25">
      <c r="A339" t="str">
        <f t="shared" si="26"/>
        <v>2020</v>
      </c>
      <c r="B339" t="str">
        <f t="shared" si="27"/>
        <v>février</v>
      </c>
      <c r="C339" s="7" t="s">
        <v>471</v>
      </c>
      <c r="D339">
        <v>1688.095</v>
      </c>
      <c r="E339" s="7">
        <v>105.23089538393501</v>
      </c>
      <c r="F339">
        <v>338</v>
      </c>
      <c r="G339">
        <f t="shared" si="28"/>
        <v>2213.7979068902546</v>
      </c>
      <c r="H339">
        <f>(D339-G339)^2</f>
        <v>276363.54631286365</v>
      </c>
      <c r="I339">
        <f t="shared" si="29"/>
        <v>35941.385170062815</v>
      </c>
      <c r="J339">
        <f t="shared" si="30"/>
        <v>112977.17461003005</v>
      </c>
    </row>
    <row r="340" spans="1:10" x14ac:dyDescent="0.25">
      <c r="A340" t="str">
        <f t="shared" si="26"/>
        <v>2020</v>
      </c>
      <c r="B340" t="str">
        <f t="shared" si="27"/>
        <v>Mars</v>
      </c>
      <c r="C340" s="7" t="s">
        <v>505</v>
      </c>
      <c r="D340">
        <v>1610.8909090909101</v>
      </c>
      <c r="E340" s="7">
        <v>100.418218601131</v>
      </c>
      <c r="F340">
        <v>339</v>
      </c>
      <c r="G340">
        <f t="shared" si="28"/>
        <v>2216.2969461009966</v>
      </c>
      <c r="H340">
        <f>(D340-G340)^2</f>
        <v>366516.46964825824</v>
      </c>
      <c r="I340">
        <f t="shared" si="29"/>
        <v>71174.889291922096</v>
      </c>
      <c r="J340">
        <f t="shared" si="30"/>
        <v>114663.37779377311</v>
      </c>
    </row>
    <row r="341" spans="1:10" x14ac:dyDescent="0.25">
      <c r="A341" t="str">
        <f t="shared" si="26"/>
        <v>2020</v>
      </c>
      <c r="B341" t="str">
        <f t="shared" si="27"/>
        <v>Avril</v>
      </c>
      <c r="C341" s="7" t="s">
        <v>539</v>
      </c>
      <c r="D341">
        <v>1459.9345000000001</v>
      </c>
      <c r="E341" s="7">
        <v>91.008038432017699</v>
      </c>
      <c r="F341">
        <v>340</v>
      </c>
      <c r="G341">
        <f t="shared" si="28"/>
        <v>2218.7959853117386</v>
      </c>
      <c r="H341">
        <f>(D341-G341)^2</f>
        <v>575870.753889538</v>
      </c>
      <c r="I341">
        <f t="shared" si="29"/>
        <v>174508.90746374571</v>
      </c>
      <c r="J341">
        <f t="shared" si="30"/>
        <v>116362.07137146981</v>
      </c>
    </row>
    <row r="342" spans="1:10" x14ac:dyDescent="0.25">
      <c r="A342" t="str">
        <f t="shared" si="26"/>
        <v>2020</v>
      </c>
      <c r="B342" t="str">
        <f t="shared" si="27"/>
        <v>Mai</v>
      </c>
      <c r="C342" s="7" t="s">
        <v>573</v>
      </c>
      <c r="D342">
        <v>1466.3715789473699</v>
      </c>
      <c r="E342" s="7">
        <v>91.409307069913496</v>
      </c>
      <c r="F342">
        <v>341</v>
      </c>
      <c r="G342">
        <f t="shared" si="28"/>
        <v>2221.2950245224806</v>
      </c>
      <c r="H342">
        <f>(D342-G342)^2</f>
        <v>569909.40867899708</v>
      </c>
      <c r="I342">
        <f t="shared" si="29"/>
        <v>169172.25883192895</v>
      </c>
      <c r="J342">
        <f t="shared" si="30"/>
        <v>118073.25534312017</v>
      </c>
    </row>
    <row r="343" spans="1:10" x14ac:dyDescent="0.25">
      <c r="A343" t="str">
        <f t="shared" si="26"/>
        <v>2020</v>
      </c>
      <c r="B343" t="str">
        <f t="shared" si="27"/>
        <v>Juin</v>
      </c>
      <c r="C343" s="7" t="s">
        <v>607</v>
      </c>
      <c r="D343">
        <v>1568.57045454545</v>
      </c>
      <c r="E343" s="7">
        <v>97.780085483698201</v>
      </c>
      <c r="F343">
        <v>342</v>
      </c>
      <c r="G343">
        <f t="shared" si="28"/>
        <v>2223.7940637332226</v>
      </c>
      <c r="H343">
        <f>(D343-G343)^2</f>
        <v>429317.97803705093</v>
      </c>
      <c r="I343">
        <f t="shared" si="29"/>
        <v>95546.938693302523</v>
      </c>
      <c r="J343">
        <f t="shared" si="30"/>
        <v>119796.92970872419</v>
      </c>
    </row>
    <row r="344" spans="1:10" x14ac:dyDescent="0.25">
      <c r="A344" t="str">
        <f t="shared" si="26"/>
        <v>2020</v>
      </c>
      <c r="B344" t="str">
        <f t="shared" si="27"/>
        <v>Juillet</v>
      </c>
      <c r="C344" s="7" t="s">
        <v>641</v>
      </c>
      <c r="D344">
        <v>1643.8121739130399</v>
      </c>
      <c r="E344" s="7">
        <v>102.47043377528</v>
      </c>
      <c r="F344">
        <v>343</v>
      </c>
      <c r="G344">
        <f t="shared" si="28"/>
        <v>2226.2931029439646</v>
      </c>
      <c r="H344">
        <f>(D344-G344)^2</f>
        <v>339284.03268472914</v>
      </c>
      <c r="I344">
        <f t="shared" si="29"/>
        <v>54692.819110003977</v>
      </c>
      <c r="J344">
        <f t="shared" si="30"/>
        <v>121533.09446828184</v>
      </c>
    </row>
    <row r="345" spans="1:10" x14ac:dyDescent="0.25">
      <c r="A345" t="str">
        <f t="shared" si="26"/>
        <v>2020</v>
      </c>
      <c r="B345" t="str">
        <f t="shared" si="27"/>
        <v>Août</v>
      </c>
      <c r="C345" s="7" t="s">
        <v>675</v>
      </c>
      <c r="D345">
        <v>1738.5552380952399</v>
      </c>
      <c r="E345" s="7">
        <v>108.376438754449</v>
      </c>
      <c r="F345">
        <v>344</v>
      </c>
      <c r="G345">
        <f t="shared" si="28"/>
        <v>2228.7921421547067</v>
      </c>
      <c r="H345">
        <f>(D345-G345)^2</f>
        <v>240332.2221018108</v>
      </c>
      <c r="I345">
        <f t="shared" si="29"/>
        <v>19354.901654537374</v>
      </c>
      <c r="J345">
        <f t="shared" si="30"/>
        <v>123281.74962179316</v>
      </c>
    </row>
    <row r="346" spans="1:10" x14ac:dyDescent="0.25">
      <c r="A346" t="str">
        <f t="shared" si="26"/>
        <v>2020</v>
      </c>
      <c r="B346" t="str">
        <f t="shared" si="27"/>
        <v>Septembre</v>
      </c>
      <c r="C346" s="7" t="s">
        <v>709</v>
      </c>
      <c r="D346">
        <v>1743.77454545455</v>
      </c>
      <c r="E346" s="7">
        <v>108.701795080191</v>
      </c>
      <c r="F346">
        <v>345</v>
      </c>
      <c r="G346">
        <f t="shared" si="28"/>
        <v>2231.2911813654487</v>
      </c>
      <c r="H346">
        <f>(D346-G346)^2</f>
        <v>237672.47028987974</v>
      </c>
      <c r="I346">
        <f t="shared" si="29"/>
        <v>17929.902963538738</v>
      </c>
      <c r="J346">
        <f t="shared" si="30"/>
        <v>125042.89516925813</v>
      </c>
    </row>
    <row r="347" spans="1:10" x14ac:dyDescent="0.25">
      <c r="A347" t="str">
        <f t="shared" si="26"/>
        <v>2020</v>
      </c>
      <c r="B347" t="str">
        <f t="shared" si="27"/>
        <v>Octobre</v>
      </c>
      <c r="C347" s="7" t="s">
        <v>743</v>
      </c>
      <c r="D347">
        <v>1806.1018181818199</v>
      </c>
      <c r="E347" s="7">
        <v>112.587094613647</v>
      </c>
      <c r="F347">
        <v>346</v>
      </c>
      <c r="G347">
        <f t="shared" si="28"/>
        <v>2233.7902205761907</v>
      </c>
      <c r="H347">
        <f>(D347-G347)^2</f>
        <v>182917.36954264922</v>
      </c>
      <c r="I347">
        <f t="shared" si="29"/>
        <v>5123.0256978278321</v>
      </c>
      <c r="J347">
        <f t="shared" si="30"/>
        <v>126816.53111067675</v>
      </c>
    </row>
    <row r="348" spans="1:10" x14ac:dyDescent="0.25">
      <c r="A348" t="str">
        <f t="shared" si="26"/>
        <v>2020</v>
      </c>
      <c r="B348" t="str">
        <f t="shared" si="27"/>
        <v>Novembre</v>
      </c>
      <c r="C348" s="7" t="s">
        <v>777</v>
      </c>
      <c r="D348">
        <v>1935.2833333333299</v>
      </c>
      <c r="E348" s="7">
        <v>120.639891705308</v>
      </c>
      <c r="F348">
        <v>347</v>
      </c>
      <c r="G348">
        <f t="shared" si="28"/>
        <v>2236.2892597869327</v>
      </c>
      <c r="H348">
        <f>(D348-G348)^2</f>
        <v>90604.567760191741</v>
      </c>
      <c r="I348">
        <f t="shared" si="29"/>
        <v>3318.4743116072968</v>
      </c>
      <c r="J348">
        <f t="shared" si="30"/>
        <v>128602.65744604901</v>
      </c>
    </row>
    <row r="349" spans="1:10" x14ac:dyDescent="0.25">
      <c r="A349" t="str">
        <f t="shared" si="26"/>
        <v>2020</v>
      </c>
      <c r="B349" t="str">
        <f t="shared" si="27"/>
        <v>Décembre</v>
      </c>
      <c r="C349" s="7" t="s">
        <v>810</v>
      </c>
      <c r="D349">
        <v>2014.6719047618999</v>
      </c>
      <c r="E349" s="7">
        <v>125.58874260213599</v>
      </c>
      <c r="F349">
        <v>348</v>
      </c>
      <c r="G349">
        <f t="shared" si="28"/>
        <v>2238.7882989976752</v>
      </c>
      <c r="H349">
        <f>(D349-G349)^2</f>
        <v>50228.158165245441</v>
      </c>
      <c r="I349">
        <f t="shared" si="29"/>
        <v>18767.567477642133</v>
      </c>
      <c r="J349">
        <f t="shared" si="30"/>
        <v>130401.27417537526</v>
      </c>
    </row>
    <row r="350" spans="1:10" x14ac:dyDescent="0.25">
      <c r="A350" t="str">
        <f t="shared" si="26"/>
        <v>2021</v>
      </c>
      <c r="B350" t="str">
        <f t="shared" si="27"/>
        <v>Janvier</v>
      </c>
      <c r="C350" s="7" t="s">
        <v>438</v>
      </c>
      <c r="D350">
        <v>2003.9755</v>
      </c>
      <c r="E350" s="7">
        <v>124.921960074799</v>
      </c>
      <c r="F350">
        <v>349</v>
      </c>
      <c r="G350">
        <f t="shared" si="28"/>
        <v>2241.2873382084172</v>
      </c>
      <c r="H350">
        <f>(D350-G350)^2</f>
        <v>56316.90855385796</v>
      </c>
      <c r="I350">
        <f t="shared" si="29"/>
        <v>15951.27749538609</v>
      </c>
      <c r="J350">
        <f t="shared" si="30"/>
        <v>132212.38129865486</v>
      </c>
    </row>
    <row r="351" spans="1:10" x14ac:dyDescent="0.25">
      <c r="A351" t="str">
        <f t="shared" si="26"/>
        <v>2021</v>
      </c>
      <c r="B351" t="str">
        <f t="shared" si="27"/>
        <v>février</v>
      </c>
      <c r="C351" s="7" t="s">
        <v>472</v>
      </c>
      <c r="D351">
        <v>2078.5934999999999</v>
      </c>
      <c r="E351" s="7">
        <v>129.57342752879799</v>
      </c>
      <c r="F351">
        <v>350</v>
      </c>
      <c r="G351">
        <f t="shared" si="28"/>
        <v>2243.7863774191592</v>
      </c>
      <c r="H351">
        <f>(D351-G351)^2</f>
        <v>27288.686750021367</v>
      </c>
      <c r="I351">
        <f t="shared" si="29"/>
        <v>40367.386510215241</v>
      </c>
      <c r="J351">
        <f t="shared" si="30"/>
        <v>134035.97881588808</v>
      </c>
    </row>
    <row r="352" spans="1:10" x14ac:dyDescent="0.25">
      <c r="A352" t="str">
        <f t="shared" si="26"/>
        <v>2021</v>
      </c>
      <c r="B352" t="str">
        <f t="shared" si="27"/>
        <v>Mars</v>
      </c>
      <c r="C352" s="7" t="s">
        <v>506</v>
      </c>
      <c r="D352">
        <v>2190.48260869565</v>
      </c>
      <c r="E352" s="7">
        <v>136.54826667692299</v>
      </c>
      <c r="F352">
        <v>351</v>
      </c>
      <c r="G352">
        <f t="shared" si="28"/>
        <v>2246.2854166299012</v>
      </c>
      <c r="H352">
        <f>(D352-G352)^2</f>
        <v>3113.9533733469261</v>
      </c>
      <c r="I352">
        <f t="shared" si="29"/>
        <v>97847.265596747675</v>
      </c>
      <c r="J352">
        <f t="shared" si="30"/>
        <v>135872.06672707497</v>
      </c>
    </row>
    <row r="353" spans="1:10" x14ac:dyDescent="0.25">
      <c r="A353" t="str">
        <f t="shared" si="26"/>
        <v>2021</v>
      </c>
      <c r="B353" t="str">
        <f t="shared" si="27"/>
        <v>Avril</v>
      </c>
      <c r="C353" s="7" t="s">
        <v>540</v>
      </c>
      <c r="D353">
        <v>2319.3924999999999</v>
      </c>
      <c r="E353" s="7">
        <v>144.58413153393801</v>
      </c>
      <c r="F353">
        <v>352</v>
      </c>
      <c r="G353">
        <f t="shared" si="28"/>
        <v>2248.7844558406432</v>
      </c>
      <c r="H353">
        <f>(D353-G353)^2</f>
        <v>4985.4959000096687</v>
      </c>
      <c r="I353">
        <f t="shared" si="29"/>
        <v>195112.46540379242</v>
      </c>
      <c r="J353">
        <f t="shared" si="30"/>
        <v>137720.64503221549</v>
      </c>
    </row>
    <row r="354" spans="1:10" x14ac:dyDescent="0.25">
      <c r="A354" t="str">
        <f t="shared" si="26"/>
        <v>2021</v>
      </c>
      <c r="B354" t="str">
        <f t="shared" si="27"/>
        <v>Mai</v>
      </c>
      <c r="C354" s="7" t="s">
        <v>574</v>
      </c>
      <c r="D354">
        <v>2434.7764999999999</v>
      </c>
      <c r="E354" s="7">
        <v>151.776831964293</v>
      </c>
      <c r="F354">
        <v>353</v>
      </c>
      <c r="G354">
        <f t="shared" si="28"/>
        <v>2251.2834950513852</v>
      </c>
      <c r="H354">
        <f>(D354-G354)^2</f>
        <v>33669.682865072347</v>
      </c>
      <c r="I354">
        <f t="shared" si="29"/>
        <v>310359.70466115995</v>
      </c>
      <c r="J354">
        <f t="shared" si="30"/>
        <v>139581.71373130966</v>
      </c>
    </row>
    <row r="355" spans="1:10" x14ac:dyDescent="0.25">
      <c r="A355" t="str">
        <f t="shared" si="26"/>
        <v>2021</v>
      </c>
      <c r="B355" t="str">
        <f t="shared" si="27"/>
        <v>Juin</v>
      </c>
      <c r="C355" s="7" t="s">
        <v>608</v>
      </c>
      <c r="D355">
        <v>2446.6454545454499</v>
      </c>
      <c r="E355" s="7">
        <v>152.516707809011</v>
      </c>
      <c r="F355">
        <v>354</v>
      </c>
      <c r="G355">
        <f t="shared" si="28"/>
        <v>2253.7825342621272</v>
      </c>
      <c r="H355">
        <f>(D355-G355)^2</f>
        <v>37196.106020211264</v>
      </c>
      <c r="I355">
        <f t="shared" si="29"/>
        <v>323724.95087052684</v>
      </c>
      <c r="J355">
        <f t="shared" si="30"/>
        <v>141455.27282435753</v>
      </c>
    </row>
    <row r="356" spans="1:10" x14ac:dyDescent="0.25">
      <c r="A356" t="str">
        <f t="shared" si="26"/>
        <v>2021</v>
      </c>
      <c r="B356" t="str">
        <f t="shared" si="27"/>
        <v>Juillet</v>
      </c>
      <c r="C356" s="7" t="s">
        <v>642</v>
      </c>
      <c r="D356">
        <v>2497.6354545454501</v>
      </c>
      <c r="E356" s="7">
        <v>155.69527498421499</v>
      </c>
      <c r="F356">
        <v>355</v>
      </c>
      <c r="G356">
        <f t="shared" si="28"/>
        <v>2256.2815734728692</v>
      </c>
      <c r="H356">
        <f>(D356-G356)^2</f>
        <v>58251.695908797505</v>
      </c>
      <c r="I356">
        <f t="shared" si="29"/>
        <v>384348.32039709709</v>
      </c>
      <c r="J356">
        <f t="shared" si="30"/>
        <v>143341.32231135899</v>
      </c>
    </row>
    <row r="357" spans="1:10" x14ac:dyDescent="0.25">
      <c r="A357" t="str">
        <f t="shared" si="26"/>
        <v>2021</v>
      </c>
      <c r="B357" t="str">
        <f t="shared" si="27"/>
        <v>Août</v>
      </c>
      <c r="C357" s="7" t="s">
        <v>676</v>
      </c>
      <c r="D357">
        <v>2602.9919047619101</v>
      </c>
      <c r="E357" s="7">
        <v>162.262887346523</v>
      </c>
      <c r="F357">
        <v>356</v>
      </c>
      <c r="G357">
        <f t="shared" si="28"/>
        <v>2258.7806126836113</v>
      </c>
      <c r="H357">
        <f>(D357-G357)^2</f>
        <v>118481.41359421193</v>
      </c>
      <c r="I357">
        <f t="shared" si="29"/>
        <v>526081.51807010011</v>
      </c>
      <c r="J357">
        <f t="shared" si="30"/>
        <v>145239.86219231415</v>
      </c>
    </row>
    <row r="358" spans="1:10" x14ac:dyDescent="0.25">
      <c r="A358" t="str">
        <f t="shared" si="26"/>
        <v>2021</v>
      </c>
      <c r="B358" t="str">
        <f t="shared" si="27"/>
        <v>Septembre</v>
      </c>
      <c r="C358" s="7" t="s">
        <v>710</v>
      </c>
      <c r="D358">
        <v>2834.5568181818198</v>
      </c>
      <c r="E358" s="7">
        <v>176.69796545449699</v>
      </c>
      <c r="F358">
        <v>357</v>
      </c>
      <c r="G358">
        <f t="shared" si="28"/>
        <v>2261.2796518943533</v>
      </c>
      <c r="H358">
        <f>(D358-G358)^2</f>
        <v>328646.70938658761</v>
      </c>
      <c r="I358">
        <f t="shared" si="29"/>
        <v>915618.73182667769</v>
      </c>
      <c r="J358">
        <f t="shared" si="30"/>
        <v>147150.89246722293</v>
      </c>
    </row>
    <row r="359" spans="1:10" x14ac:dyDescent="0.25">
      <c r="A359" t="str">
        <f t="shared" si="26"/>
        <v>2021</v>
      </c>
      <c r="B359" t="str">
        <f t="shared" si="27"/>
        <v>Octobre</v>
      </c>
      <c r="C359" s="7" t="s">
        <v>744</v>
      </c>
      <c r="D359">
        <v>2934.39380952381</v>
      </c>
      <c r="E359" s="7">
        <v>182.92151092519401</v>
      </c>
      <c r="F359">
        <v>358</v>
      </c>
      <c r="G359">
        <f t="shared" si="28"/>
        <v>2263.7786911050953</v>
      </c>
      <c r="H359">
        <f>(D359-G359)^2</f>
        <v>449724.63705174671</v>
      </c>
      <c r="I359">
        <f t="shared" si="29"/>
        <v>1116650.1343474702</v>
      </c>
      <c r="J359">
        <f t="shared" si="30"/>
        <v>149074.41313608538</v>
      </c>
    </row>
    <row r="360" spans="1:10" x14ac:dyDescent="0.25">
      <c r="A360" t="str">
        <f t="shared" si="26"/>
        <v>2021</v>
      </c>
      <c r="B360" t="str">
        <f t="shared" si="27"/>
        <v>Novembre</v>
      </c>
      <c r="C360" s="7" t="s">
        <v>778</v>
      </c>
      <c r="D360">
        <v>2636.4522727272702</v>
      </c>
      <c r="E360" s="7">
        <v>164.34870863079399</v>
      </c>
      <c r="F360">
        <v>359</v>
      </c>
      <c r="G360">
        <f t="shared" si="28"/>
        <v>2266.2777303158373</v>
      </c>
      <c r="H360">
        <f>(D360-G360)^2</f>
        <v>137029.19184951371</v>
      </c>
      <c r="I360">
        <f t="shared" si="29"/>
        <v>575739.71259916516</v>
      </c>
      <c r="J360">
        <f t="shared" si="30"/>
        <v>151010.42419890148</v>
      </c>
    </row>
    <row r="361" spans="1:10" x14ac:dyDescent="0.25">
      <c r="A361" t="str">
        <f t="shared" si="26"/>
        <v>2021</v>
      </c>
      <c r="B361" t="str">
        <f t="shared" si="27"/>
        <v>Décembre</v>
      </c>
      <c r="C361" s="7" t="s">
        <v>811</v>
      </c>
      <c r="D361">
        <v>2695.5314285714298</v>
      </c>
      <c r="E361" s="7">
        <v>168.03153007627401</v>
      </c>
      <c r="F361">
        <v>360</v>
      </c>
      <c r="G361">
        <f t="shared" si="28"/>
        <v>2268.7767695265793</v>
      </c>
      <c r="H361">
        <f>(D361-G361)^2</f>
        <v>182119.53901648664</v>
      </c>
      <c r="I361">
        <f t="shared" si="29"/>
        <v>668885.64871029626</v>
      </c>
      <c r="J361">
        <f t="shared" si="30"/>
        <v>152958.92565567125</v>
      </c>
    </row>
    <row r="362" spans="1:10" x14ac:dyDescent="0.25">
      <c r="A362" t="str">
        <f t="shared" si="26"/>
        <v>2022</v>
      </c>
      <c r="B362" t="str">
        <f t="shared" si="27"/>
        <v>Janvier</v>
      </c>
      <c r="C362" s="7" t="s">
        <v>439</v>
      </c>
      <c r="D362">
        <v>3005.9805000000001</v>
      </c>
      <c r="E362" s="7">
        <v>187.38401542664801</v>
      </c>
      <c r="F362">
        <v>361</v>
      </c>
      <c r="G362">
        <f t="shared" si="28"/>
        <v>2271.2758087373213</v>
      </c>
      <c r="H362">
        <f>(D362-G362)^2</f>
        <v>539790.98336338822</v>
      </c>
      <c r="I362">
        <f t="shared" si="29"/>
        <v>1273068.4878809734</v>
      </c>
      <c r="J362">
        <f t="shared" si="30"/>
        <v>154919.91750639465</v>
      </c>
    </row>
    <row r="363" spans="1:10" x14ac:dyDescent="0.25">
      <c r="A363" t="str">
        <f t="shared" si="26"/>
        <v>2022</v>
      </c>
      <c r="B363" t="str">
        <f t="shared" si="27"/>
        <v>février</v>
      </c>
      <c r="C363" s="7" t="s">
        <v>473</v>
      </c>
      <c r="D363">
        <v>3245.7855</v>
      </c>
      <c r="E363" s="7">
        <v>202.332756384677</v>
      </c>
      <c r="F363">
        <v>362</v>
      </c>
      <c r="G363">
        <f t="shared" si="28"/>
        <v>2273.7748479480633</v>
      </c>
      <c r="H363">
        <f>(D363-G363)^2</f>
        <v>944804.70770243101</v>
      </c>
      <c r="I363">
        <f t="shared" si="29"/>
        <v>1871720.5037310447</v>
      </c>
      <c r="J363">
        <f t="shared" si="30"/>
        <v>156893.3997510717</v>
      </c>
    </row>
    <row r="364" spans="1:10" x14ac:dyDescent="0.25">
      <c r="A364" t="str">
        <f t="shared" si="26"/>
        <v>2022</v>
      </c>
      <c r="B364" t="str">
        <f t="shared" si="27"/>
        <v>Mars</v>
      </c>
      <c r="C364" s="7" t="s">
        <v>507</v>
      </c>
      <c r="D364">
        <v>3498.3730434782601</v>
      </c>
      <c r="E364" s="7">
        <v>218.078323644249</v>
      </c>
      <c r="F364">
        <v>363</v>
      </c>
      <c r="G364">
        <f t="shared" si="28"/>
        <v>2276.2738871588053</v>
      </c>
      <c r="H364">
        <f>(D364-G364)^2</f>
        <v>1493526.3478767232</v>
      </c>
      <c r="I364">
        <f t="shared" si="29"/>
        <v>2626655.2340936344</v>
      </c>
      <c r="J364">
        <f t="shared" si="30"/>
        <v>158879.37238970239</v>
      </c>
    </row>
    <row r="365" spans="1:10" x14ac:dyDescent="0.25">
      <c r="A365" t="str">
        <f t="shared" si="26"/>
        <v>2022</v>
      </c>
      <c r="B365" t="str">
        <f t="shared" si="27"/>
        <v>Avril</v>
      </c>
      <c r="C365" s="7" t="s">
        <v>541</v>
      </c>
      <c r="D365">
        <v>3246.99047619048</v>
      </c>
      <c r="E365" s="7">
        <v>202.40787106924199</v>
      </c>
      <c r="F365">
        <v>364</v>
      </c>
      <c r="G365">
        <f t="shared" si="28"/>
        <v>2278.7729263695473</v>
      </c>
      <c r="H365">
        <f>(D365-G365)^2</f>
        <v>937445.22378125018</v>
      </c>
      <c r="I365">
        <f t="shared" si="29"/>
        <v>1875019.0317150177</v>
      </c>
      <c r="J365">
        <f t="shared" si="30"/>
        <v>160877.83542228676</v>
      </c>
    </row>
    <row r="366" spans="1:10" x14ac:dyDescent="0.25">
      <c r="A366" t="str">
        <f t="shared" si="26"/>
        <v>2022</v>
      </c>
      <c r="B366" t="str">
        <f t="shared" si="27"/>
        <v>Mai</v>
      </c>
      <c r="C366" s="7" t="s">
        <v>575</v>
      </c>
      <c r="D366">
        <v>2839.50545454545</v>
      </c>
      <c r="E366" s="7">
        <v>177.00644894356299</v>
      </c>
      <c r="F366">
        <v>365</v>
      </c>
      <c r="G366">
        <f t="shared" si="28"/>
        <v>2281.2719655802894</v>
      </c>
      <c r="H366">
        <f>(D366-G366)^2</f>
        <v>311624.62820221612</v>
      </c>
      <c r="I366">
        <f t="shared" si="29"/>
        <v>925113.72003950679</v>
      </c>
      <c r="J366">
        <f t="shared" si="30"/>
        <v>162888.78884882477</v>
      </c>
    </row>
    <row r="367" spans="1:10" x14ac:dyDescent="0.25">
      <c r="A367" t="str">
        <f t="shared" si="26"/>
        <v>2022</v>
      </c>
      <c r="B367" t="str">
        <f t="shared" si="27"/>
        <v>Juin</v>
      </c>
      <c r="C367" s="7" t="s">
        <v>609</v>
      </c>
      <c r="D367">
        <v>2575.6695454545502</v>
      </c>
      <c r="E367" s="7">
        <v>160.559691534726</v>
      </c>
      <c r="F367">
        <v>366</v>
      </c>
      <c r="G367">
        <f t="shared" si="28"/>
        <v>2283.7710047910314</v>
      </c>
      <c r="H367">
        <f>(D367-G367)^2</f>
        <v>85204.75804149195</v>
      </c>
      <c r="I367">
        <f t="shared" si="29"/>
        <v>487193.40778067493</v>
      </c>
      <c r="J367">
        <f t="shared" si="30"/>
        <v>164912.23266931644</v>
      </c>
    </row>
    <row r="368" spans="1:10" x14ac:dyDescent="0.25">
      <c r="A368" t="str">
        <f t="shared" si="26"/>
        <v>2022</v>
      </c>
      <c r="B368" t="str">
        <f t="shared" si="27"/>
        <v>Juillet</v>
      </c>
      <c r="C368" s="7" t="s">
        <v>643</v>
      </c>
      <c r="D368">
        <v>2408.42333333333</v>
      </c>
      <c r="E368" s="7">
        <v>150.13405278152399</v>
      </c>
      <c r="F368">
        <v>367</v>
      </c>
      <c r="G368">
        <f t="shared" si="28"/>
        <v>2286.2700440017734</v>
      </c>
      <c r="H368">
        <f>(D368-G368)^2</f>
        <v>14921.426094518982</v>
      </c>
      <c r="I368">
        <f t="shared" si="29"/>
        <v>281691.52912002208</v>
      </c>
      <c r="J368">
        <f t="shared" si="30"/>
        <v>166948.16688376176</v>
      </c>
    </row>
    <row r="369" spans="1:10" x14ac:dyDescent="0.25">
      <c r="A369" t="str">
        <f t="shared" si="26"/>
        <v>2022</v>
      </c>
      <c r="B369" t="str">
        <f t="shared" si="27"/>
        <v>Août</v>
      </c>
      <c r="C369" s="7" t="s">
        <v>677</v>
      </c>
      <c r="D369">
        <v>2433.9160869565198</v>
      </c>
      <c r="E369" s="7">
        <v>151.72319633657901</v>
      </c>
      <c r="F369">
        <v>368</v>
      </c>
      <c r="G369">
        <f t="shared" si="28"/>
        <v>2288.7690832125154</v>
      </c>
      <c r="H369">
        <f>(D369-G369)^2</f>
        <v>21067.652695862042</v>
      </c>
      <c r="I369">
        <f t="shared" si="29"/>
        <v>309401.77384808095</v>
      </c>
      <c r="J369">
        <f t="shared" si="30"/>
        <v>168996.59149216072</v>
      </c>
    </row>
    <row r="370" spans="1:10" x14ac:dyDescent="0.25">
      <c r="A370" t="str">
        <f t="shared" si="26"/>
        <v>2022</v>
      </c>
      <c r="B370" t="str">
        <f t="shared" si="27"/>
        <v>Septembre</v>
      </c>
      <c r="C370" s="7" t="s">
        <v>711</v>
      </c>
      <c r="D370">
        <v>2224.7559090909099</v>
      </c>
      <c r="E370" s="7">
        <v>138.68476378659699</v>
      </c>
      <c r="F370">
        <v>369</v>
      </c>
      <c r="G370">
        <f t="shared" si="28"/>
        <v>2291.2681224232574</v>
      </c>
      <c r="H370">
        <f>(D370-G370)^2</f>
        <v>4423.8745223677079</v>
      </c>
      <c r="I370">
        <f t="shared" si="29"/>
        <v>120463.67678121428</v>
      </c>
      <c r="J370">
        <f t="shared" si="30"/>
        <v>171057.50649451333</v>
      </c>
    </row>
    <row r="371" spans="1:10" x14ac:dyDescent="0.25">
      <c r="A371" t="str">
        <f t="shared" si="26"/>
        <v>2022</v>
      </c>
      <c r="B371" t="str">
        <f t="shared" si="27"/>
        <v>Octobre</v>
      </c>
      <c r="C371" s="7" t="s">
        <v>745</v>
      </c>
      <c r="D371">
        <v>2255.5352380952399</v>
      </c>
      <c r="E371" s="7">
        <v>140.60345695874801</v>
      </c>
      <c r="F371">
        <v>370</v>
      </c>
      <c r="G371">
        <f t="shared" si="28"/>
        <v>2293.7671616339999</v>
      </c>
      <c r="H371">
        <f>(D371-G371)^2</f>
        <v>1461.6799774735855</v>
      </c>
      <c r="I371">
        <f t="shared" si="29"/>
        <v>142776.74755181785</v>
      </c>
      <c r="J371">
        <f t="shared" si="30"/>
        <v>173130.91189081999</v>
      </c>
    </row>
    <row r="372" spans="1:10" x14ac:dyDescent="0.25">
      <c r="A372" t="str">
        <f t="shared" si="26"/>
        <v>2022</v>
      </c>
      <c r="B372" t="str">
        <f t="shared" si="27"/>
        <v>Novembre</v>
      </c>
      <c r="C372" s="7" t="s">
        <v>779</v>
      </c>
      <c r="D372">
        <v>2350.7163636363598</v>
      </c>
      <c r="E372" s="7">
        <v>146.536769399306</v>
      </c>
      <c r="F372">
        <v>371</v>
      </c>
      <c r="G372">
        <f t="shared" si="28"/>
        <v>2296.2662008447419</v>
      </c>
      <c r="H372">
        <f>(D372-G372)^2</f>
        <v>2964.8202280336918</v>
      </c>
      <c r="I372">
        <f t="shared" si="29"/>
        <v>223766.11367803963</v>
      </c>
      <c r="J372">
        <f t="shared" si="30"/>
        <v>175216.80768107992</v>
      </c>
    </row>
    <row r="373" spans="1:10" x14ac:dyDescent="0.25">
      <c r="A373" t="str">
        <f t="shared" si="26"/>
        <v>2022</v>
      </c>
      <c r="B373" t="str">
        <f t="shared" si="27"/>
        <v>Décembre</v>
      </c>
      <c r="C373" s="7" t="s">
        <v>812</v>
      </c>
      <c r="D373">
        <v>2398.2068181818199</v>
      </c>
      <c r="E373" s="7">
        <v>149.497185166196</v>
      </c>
      <c r="F373">
        <v>372</v>
      </c>
      <c r="G373">
        <f t="shared" si="28"/>
        <v>2298.7652400554839</v>
      </c>
      <c r="H373">
        <f>(D373-G373)^2</f>
        <v>9888.6274602561916</v>
      </c>
      <c r="I373">
        <f t="shared" si="29"/>
        <v>270951.1531081681</v>
      </c>
      <c r="J373">
        <f t="shared" si="30"/>
        <v>177315.19386529349</v>
      </c>
    </row>
    <row r="374" spans="1:10" x14ac:dyDescent="0.25">
      <c r="A374" t="str">
        <f t="shared" si="26"/>
        <v>2023</v>
      </c>
      <c r="B374" t="str">
        <f t="shared" si="27"/>
        <v>Janvier</v>
      </c>
      <c r="C374" s="7" t="s">
        <v>440</v>
      </c>
      <c r="D374">
        <v>2494.9009090909099</v>
      </c>
      <c r="E374" s="7">
        <v>155.524811434089</v>
      </c>
      <c r="F374">
        <v>373</v>
      </c>
      <c r="G374">
        <f t="shared" si="28"/>
        <v>2301.2642792662259</v>
      </c>
      <c r="H374">
        <f>(D374-G374)^2</f>
        <v>37495.144409861685</v>
      </c>
      <c r="I374">
        <f t="shared" si="29"/>
        <v>380965.18971581559</v>
      </c>
      <c r="J374">
        <f t="shared" si="30"/>
        <v>179426.07044346072</v>
      </c>
    </row>
    <row r="375" spans="1:10" x14ac:dyDescent="0.25">
      <c r="A375" t="str">
        <f t="shared" si="26"/>
        <v>2023</v>
      </c>
      <c r="B375" t="str">
        <f t="shared" si="27"/>
        <v>février</v>
      </c>
      <c r="C375" s="7" t="s">
        <v>474</v>
      </c>
      <c r="D375">
        <v>2416.1815000000001</v>
      </c>
      <c r="E375" s="7">
        <v>150.61767415643001</v>
      </c>
      <c r="F375">
        <v>374</v>
      </c>
      <c r="G375">
        <f t="shared" si="28"/>
        <v>2303.7633184769679</v>
      </c>
      <c r="H375">
        <f>(D375-G375)^2</f>
        <v>12637.847536945423</v>
      </c>
      <c r="I375">
        <f t="shared" si="29"/>
        <v>289986.95322912047</v>
      </c>
      <c r="J375">
        <f t="shared" si="30"/>
        <v>181549.4374155816</v>
      </c>
    </row>
    <row r="376" spans="1:10" x14ac:dyDescent="0.25">
      <c r="A376" t="str">
        <f t="shared" si="26"/>
        <v>2023</v>
      </c>
      <c r="B376" t="str">
        <f t="shared" si="27"/>
        <v>Mars</v>
      </c>
      <c r="C376" s="7" t="s">
        <v>508</v>
      </c>
      <c r="D376">
        <v>2296.4169565217398</v>
      </c>
      <c r="E376" s="7">
        <v>143.15190348270301</v>
      </c>
      <c r="F376">
        <v>375</v>
      </c>
      <c r="G376">
        <f t="shared" si="28"/>
        <v>2306.2623576877099</v>
      </c>
      <c r="H376">
        <f>(D376-G376)^2</f>
        <v>96.931924118885178</v>
      </c>
      <c r="I376">
        <f t="shared" si="29"/>
        <v>175343.03976495413</v>
      </c>
      <c r="J376">
        <f t="shared" si="30"/>
        <v>183685.29478165615</v>
      </c>
    </row>
    <row r="377" spans="1:10" x14ac:dyDescent="0.25">
      <c r="A377" t="str">
        <f t="shared" si="26"/>
        <v>2023</v>
      </c>
      <c r="B377" t="str">
        <f t="shared" si="27"/>
        <v>Avril</v>
      </c>
      <c r="C377" s="7" t="s">
        <v>542</v>
      </c>
      <c r="D377">
        <v>2338.1309999999999</v>
      </c>
      <c r="E377" s="7">
        <v>145.75223471127799</v>
      </c>
      <c r="F377">
        <v>376</v>
      </c>
      <c r="G377">
        <f t="shared" si="28"/>
        <v>2308.7613968984519</v>
      </c>
      <c r="H377">
        <f>(D377-G377)^2</f>
        <v>862.57358634245259</v>
      </c>
      <c r="I377">
        <f t="shared" si="29"/>
        <v>212017.76359339801</v>
      </c>
      <c r="J377">
        <f t="shared" si="30"/>
        <v>185833.64254168433</v>
      </c>
    </row>
    <row r="378" spans="1:10" x14ac:dyDescent="0.25">
      <c r="A378" t="str">
        <f t="shared" si="26"/>
        <v>2023</v>
      </c>
      <c r="B378" t="str">
        <f t="shared" si="27"/>
        <v>Mai</v>
      </c>
      <c r="C378" s="7" t="s">
        <v>576</v>
      </c>
      <c r="D378">
        <v>2274.0126086956502</v>
      </c>
      <c r="E378" s="7">
        <v>141.75528209455101</v>
      </c>
      <c r="F378">
        <v>377</v>
      </c>
      <c r="G378">
        <f t="shared" si="28"/>
        <v>2311.260436109194</v>
      </c>
      <c r="H378">
        <f>(D378-G378)^2</f>
        <v>1387.4006470291411</v>
      </c>
      <c r="I378">
        <f t="shared" si="29"/>
        <v>157081.8092588702</v>
      </c>
      <c r="J378">
        <f t="shared" si="30"/>
        <v>187994.48069566616</v>
      </c>
    </row>
    <row r="379" spans="1:10" x14ac:dyDescent="0.25">
      <c r="A379" t="str">
        <f t="shared" si="26"/>
        <v>2023</v>
      </c>
      <c r="B379" t="str">
        <f t="shared" si="27"/>
        <v>Juin</v>
      </c>
      <c r="C379" s="7" t="s">
        <v>610</v>
      </c>
      <c r="D379">
        <v>2184.75363636364</v>
      </c>
      <c r="E379" s="7">
        <v>136.191139330341</v>
      </c>
      <c r="F379">
        <v>378</v>
      </c>
      <c r="G379">
        <f t="shared" si="28"/>
        <v>2313.759475319936</v>
      </c>
      <c r="H379">
        <f>(D379-G379)^2</f>
        <v>16642.506484817772</v>
      </c>
      <c r="I379">
        <f t="shared" si="29"/>
        <v>94295.978890126164</v>
      </c>
      <c r="J379">
        <f t="shared" si="30"/>
        <v>190167.80924360166</v>
      </c>
    </row>
    <row r="380" spans="1:10" x14ac:dyDescent="0.25">
      <c r="A380" t="str">
        <f t="shared" si="26"/>
        <v>2023</v>
      </c>
      <c r="B380" t="str">
        <f t="shared" si="27"/>
        <v>Juillet</v>
      </c>
      <c r="C380" s="7" t="s">
        <v>644</v>
      </c>
      <c r="D380">
        <v>2159.73238095238</v>
      </c>
      <c r="E380" s="7">
        <v>134.63138759210599</v>
      </c>
      <c r="F380">
        <v>379</v>
      </c>
      <c r="G380">
        <f t="shared" si="28"/>
        <v>2316.258514530678</v>
      </c>
      <c r="H380">
        <f>(D380-G380)^2</f>
        <v>24500.430492971176</v>
      </c>
      <c r="I380">
        <f t="shared" si="29"/>
        <v>79555.16287183958</v>
      </c>
      <c r="J380">
        <f t="shared" si="30"/>
        <v>192353.62818549082</v>
      </c>
    </row>
    <row r="381" spans="1:10" x14ac:dyDescent="0.25">
      <c r="A381" t="str">
        <f t="shared" si="26"/>
        <v>2023</v>
      </c>
      <c r="B381" t="str">
        <f t="shared" si="27"/>
        <v>Août</v>
      </c>
      <c r="C381" s="7" t="s">
        <v>678</v>
      </c>
      <c r="D381">
        <v>2135.5817391304299</v>
      </c>
      <c r="E381" s="7">
        <v>133.12590735371899</v>
      </c>
      <c r="F381">
        <v>380</v>
      </c>
      <c r="G381">
        <f t="shared" si="28"/>
        <v>2318.75755374142</v>
      </c>
      <c r="H381">
        <f>(D381-G381)^2</f>
        <v>33553.379058399805</v>
      </c>
      <c r="I381">
        <f t="shared" si="29"/>
        <v>66514.785839848497</v>
      </c>
      <c r="J381">
        <f t="shared" si="30"/>
        <v>194551.9375213336</v>
      </c>
    </row>
    <row r="382" spans="1:10" x14ac:dyDescent="0.25">
      <c r="A382" t="str">
        <f t="shared" si="26"/>
        <v>2023</v>
      </c>
      <c r="B382" t="str">
        <f t="shared" si="27"/>
        <v>Septembre</v>
      </c>
      <c r="C382" s="7" t="s">
        <v>712</v>
      </c>
      <c r="D382">
        <v>2184.6738095238102</v>
      </c>
      <c r="E382" s="7">
        <v>136.18616315907701</v>
      </c>
      <c r="F382">
        <v>381</v>
      </c>
      <c r="G382">
        <f t="shared" si="28"/>
        <v>2321.256592952162</v>
      </c>
      <c r="H382">
        <f>(D382-G382)^2</f>
        <v>18654.856729036059</v>
      </c>
      <c r="I382">
        <f t="shared" si="29"/>
        <v>94246.959368758748</v>
      </c>
      <c r="J382">
        <f t="shared" si="30"/>
        <v>196762.73725113005</v>
      </c>
    </row>
    <row r="383" spans="1:10" x14ac:dyDescent="0.25">
      <c r="A383" t="str">
        <f t="shared" si="26"/>
        <v>2023</v>
      </c>
      <c r="B383" t="str">
        <f t="shared" si="27"/>
        <v>Octobre</v>
      </c>
      <c r="C383" s="7" t="s">
        <v>746</v>
      </c>
      <c r="D383">
        <v>2194.3909090909101</v>
      </c>
      <c r="E383" s="7">
        <v>136.79189867039599</v>
      </c>
      <c r="F383">
        <v>382</v>
      </c>
      <c r="G383">
        <f t="shared" si="28"/>
        <v>2323.7556321629045</v>
      </c>
      <c r="H383">
        <f>(D383-G383)^2</f>
        <v>16735.231575493795</v>
      </c>
      <c r="I383">
        <f t="shared" si="29"/>
        <v>100307.61593697366</v>
      </c>
      <c r="J383">
        <f t="shared" si="30"/>
        <v>198986.02737488056</v>
      </c>
    </row>
    <row r="384" spans="1:10" x14ac:dyDescent="0.25">
      <c r="A384" t="str">
        <f t="shared" si="26"/>
        <v>2023</v>
      </c>
      <c r="B384" t="str">
        <f t="shared" si="27"/>
        <v>Novembre</v>
      </c>
      <c r="C384" s="7" t="s">
        <v>780</v>
      </c>
      <c r="D384">
        <v>2202.25545454545</v>
      </c>
      <c r="E384" s="7">
        <v>137.28215138719801</v>
      </c>
      <c r="F384">
        <v>383</v>
      </c>
      <c r="G384">
        <f t="shared" si="28"/>
        <v>2326.2546713736465</v>
      </c>
      <c r="H384">
        <f>(D384-G384)^2</f>
        <v>15375.805774006089</v>
      </c>
      <c r="I384">
        <f t="shared" si="29"/>
        <v>105351.08678775716</v>
      </c>
      <c r="J384">
        <f t="shared" si="30"/>
        <v>201221.8078925843</v>
      </c>
    </row>
    <row r="385" spans="1:10" x14ac:dyDescent="0.25">
      <c r="A385" t="str">
        <f t="shared" si="26"/>
        <v>2023</v>
      </c>
      <c r="B385" t="str">
        <f t="shared" si="27"/>
        <v>Décembre</v>
      </c>
      <c r="C385" s="7" t="s">
        <v>813</v>
      </c>
      <c r="D385">
        <v>2192.0052380952402</v>
      </c>
      <c r="E385" s="7">
        <v>136.64318293167</v>
      </c>
      <c r="F385">
        <v>384</v>
      </c>
      <c r="G385">
        <f t="shared" si="28"/>
        <v>2328.7537105843885</v>
      </c>
      <c r="H385">
        <f>(D385-G385)^2</f>
        <v>18700.144728115349</v>
      </c>
      <c r="I385">
        <f t="shared" si="29"/>
        <v>98802.15762419175</v>
      </c>
      <c r="J385">
        <f t="shared" si="30"/>
        <v>203470.0788042417</v>
      </c>
    </row>
    <row r="386" spans="1:10" x14ac:dyDescent="0.25">
      <c r="A386" t="str">
        <f t="shared" si="26"/>
        <v>2024</v>
      </c>
      <c r="B386" t="str">
        <f t="shared" si="27"/>
        <v>Janvier</v>
      </c>
      <c r="C386" s="7" t="s">
        <v>441</v>
      </c>
      <c r="D386">
        <v>2201.5665217391302</v>
      </c>
      <c r="E386" s="7">
        <v>137.23920533495101</v>
      </c>
      <c r="F386">
        <v>385</v>
      </c>
      <c r="G386">
        <f t="shared" si="28"/>
        <v>2331.2527497951305</v>
      </c>
      <c r="H386">
        <f>(D386-G386)^2</f>
        <v>16818.517747392933</v>
      </c>
      <c r="I386">
        <f t="shared" si="29"/>
        <v>104904.33610836563</v>
      </c>
      <c r="J386">
        <f t="shared" si="30"/>
        <v>205730.84010985275</v>
      </c>
    </row>
    <row r="387" spans="1:10" x14ac:dyDescent="0.25">
      <c r="A387" t="str">
        <f t="shared" ref="A387:A407" si="31">LEFT(C387,4)</f>
        <v>2024</v>
      </c>
      <c r="B387" t="str">
        <f t="shared" ref="B387:B407" si="32">MID(C387,6,10)</f>
        <v>février</v>
      </c>
      <c r="C387" s="7" t="s">
        <v>475</v>
      </c>
      <c r="D387">
        <v>2179.4571428571398</v>
      </c>
      <c r="E387" s="7">
        <v>135.860971446375</v>
      </c>
      <c r="F387">
        <v>386</v>
      </c>
      <c r="G387">
        <f t="shared" ref="G387:G407" si="33">SLOPE($D$2:$D$407,$F$2:$F$407)*F387+INTERCEPT($D$2:$D$407,$F$2:$F$407)</f>
        <v>2333.7517890058725</v>
      </c>
      <c r="H387">
        <f>(D387-G387)^2</f>
        <v>23806.837830162629</v>
      </c>
      <c r="I387">
        <f t="shared" ref="I387:I407" si="34">(D387-AVERAGE($D$2:$D$407))^2</f>
        <v>91071.174321943428</v>
      </c>
      <c r="J387">
        <f t="shared" ref="J387:J407" si="35">(G387-AVERAGE($D$2:$D$407))^2</f>
        <v>208004.09180941747</v>
      </c>
    </row>
    <row r="388" spans="1:10" x14ac:dyDescent="0.25">
      <c r="A388" t="str">
        <f t="shared" si="31"/>
        <v>2024</v>
      </c>
      <c r="B388" t="str">
        <f t="shared" si="32"/>
        <v>Mars</v>
      </c>
      <c r="C388" s="7" t="s">
        <v>509</v>
      </c>
      <c r="D388">
        <v>2229.4419047618999</v>
      </c>
      <c r="E388" s="7">
        <v>138.976875024545</v>
      </c>
      <c r="F388">
        <v>387</v>
      </c>
      <c r="G388">
        <f t="shared" si="33"/>
        <v>2336.2508282166145</v>
      </c>
      <c r="H388">
        <f>(D388-G388)^2</f>
        <v>11408.146129555094</v>
      </c>
      <c r="I388">
        <f t="shared" si="34"/>
        <v>123738.45462072587</v>
      </c>
      <c r="J388">
        <f t="shared" si="35"/>
        <v>210289.83390293585</v>
      </c>
    </row>
    <row r="389" spans="1:10" x14ac:dyDescent="0.25">
      <c r="A389" t="str">
        <f t="shared" si="31"/>
        <v>2024</v>
      </c>
      <c r="B389" t="str">
        <f t="shared" si="32"/>
        <v>Avril</v>
      </c>
      <c r="C389" s="7" t="s">
        <v>543</v>
      </c>
      <c r="D389">
        <v>2499.22818181818</v>
      </c>
      <c r="E389" s="7">
        <v>155.79456093495301</v>
      </c>
      <c r="F389">
        <v>388</v>
      </c>
      <c r="G389">
        <f t="shared" si="33"/>
        <v>2338.7498674273565</v>
      </c>
      <c r="H389">
        <f>(D389-G389)^2</f>
        <v>25753.289389719979</v>
      </c>
      <c r="I389">
        <f t="shared" si="34"/>
        <v>386325.70623048022</v>
      </c>
      <c r="J389">
        <f t="shared" si="35"/>
        <v>212588.06639040785</v>
      </c>
    </row>
    <row r="390" spans="1:10" x14ac:dyDescent="0.25">
      <c r="A390" t="str">
        <f t="shared" si="31"/>
        <v>2024</v>
      </c>
      <c r="B390" t="str">
        <f t="shared" si="32"/>
        <v>Mai</v>
      </c>
      <c r="C390" s="7" t="s">
        <v>577</v>
      </c>
      <c r="D390">
        <v>2566.3186956521699</v>
      </c>
      <c r="E390" s="7">
        <v>159.976786960455</v>
      </c>
      <c r="F390">
        <v>389</v>
      </c>
      <c r="G390">
        <f t="shared" si="33"/>
        <v>2341.2489066380986</v>
      </c>
      <c r="H390">
        <f>(D390-G390)^2</f>
        <v>50656.409926838605</v>
      </c>
      <c r="I390">
        <f t="shared" si="34"/>
        <v>474227.20174942451</v>
      </c>
      <c r="J390">
        <f t="shared" si="35"/>
        <v>214898.78927183352</v>
      </c>
    </row>
    <row r="391" spans="1:10" x14ac:dyDescent="0.25">
      <c r="A391" t="str">
        <f t="shared" si="31"/>
        <v>2024</v>
      </c>
      <c r="B391" t="str">
        <f t="shared" si="32"/>
        <v>Juin</v>
      </c>
      <c r="C391" s="7" t="s">
        <v>611</v>
      </c>
      <c r="D391">
        <v>2497.6055000000001</v>
      </c>
      <c r="E391" s="7">
        <v>155.69340770563301</v>
      </c>
      <c r="F391">
        <v>390</v>
      </c>
      <c r="G391">
        <f t="shared" si="33"/>
        <v>2343.7479458488406</v>
      </c>
      <c r="H391">
        <f>(D391-G391)^2</f>
        <v>23672.146969376994</v>
      </c>
      <c r="I391">
        <f t="shared" si="34"/>
        <v>384311.18015493493</v>
      </c>
      <c r="J391">
        <f t="shared" si="35"/>
        <v>217222.00254721285</v>
      </c>
    </row>
    <row r="392" spans="1:10" x14ac:dyDescent="0.25">
      <c r="A392" t="str">
        <f t="shared" si="31"/>
        <v>2024</v>
      </c>
      <c r="B392" t="str">
        <f t="shared" si="32"/>
        <v>Juillet</v>
      </c>
      <c r="C392" s="7" t="s">
        <v>645</v>
      </c>
      <c r="D392">
        <v>2349.1252173912999</v>
      </c>
      <c r="E392" s="7">
        <v>146.437582005199</v>
      </c>
      <c r="F392">
        <v>391</v>
      </c>
      <c r="G392">
        <f t="shared" si="33"/>
        <v>2346.2469850595826</v>
      </c>
      <c r="H392">
        <f>(D392-G392)^2</f>
        <v>8.2842213553428028</v>
      </c>
      <c r="I392">
        <f t="shared" si="34"/>
        <v>222263.29623337128</v>
      </c>
      <c r="J392">
        <f t="shared" si="35"/>
        <v>219557.7062165458</v>
      </c>
    </row>
    <row r="393" spans="1:10" x14ac:dyDescent="0.25">
      <c r="A393" t="str">
        <f t="shared" si="31"/>
        <v>2024</v>
      </c>
      <c r="B393" t="str">
        <f t="shared" si="32"/>
        <v>Août</v>
      </c>
      <c r="C393" s="7" t="s">
        <v>679</v>
      </c>
      <c r="D393">
        <v>2352.46727272727</v>
      </c>
      <c r="E393" s="7">
        <v>146.64591594104201</v>
      </c>
      <c r="F393">
        <v>392</v>
      </c>
      <c r="G393">
        <f t="shared" si="33"/>
        <v>2348.7460242703246</v>
      </c>
      <c r="H393">
        <f>(D393-G393)^2</f>
        <v>13.847690078318758</v>
      </c>
      <c r="I393">
        <f t="shared" si="34"/>
        <v>225425.67673908186</v>
      </c>
      <c r="J393">
        <f t="shared" si="35"/>
        <v>221905.90027983242</v>
      </c>
    </row>
    <row r="394" spans="1:10" x14ac:dyDescent="0.25">
      <c r="A394" t="str">
        <f t="shared" si="31"/>
        <v>2024</v>
      </c>
      <c r="B394" t="str">
        <f t="shared" si="32"/>
        <v>Septembre</v>
      </c>
      <c r="C394" s="7" t="s">
        <v>713</v>
      </c>
      <c r="D394">
        <v>2457.4780952381002</v>
      </c>
      <c r="E394" s="7">
        <v>153.19198288503401</v>
      </c>
      <c r="F394">
        <v>393</v>
      </c>
      <c r="G394">
        <f t="shared" si="33"/>
        <v>2351.2450634810666</v>
      </c>
      <c r="H394">
        <f>(D394-G394)^2</f>
        <v>11285.457036290907</v>
      </c>
      <c r="I394">
        <f t="shared" si="34"/>
        <v>336169.15575952263</v>
      </c>
      <c r="J394">
        <f t="shared" si="35"/>
        <v>224266.5847370727</v>
      </c>
    </row>
    <row r="395" spans="1:10" x14ac:dyDescent="0.25">
      <c r="A395" t="str">
        <f t="shared" si="31"/>
        <v>2024</v>
      </c>
      <c r="B395" t="str">
        <f t="shared" si="32"/>
        <v>Octobre</v>
      </c>
      <c r="C395" s="7" t="s">
        <v>747</v>
      </c>
      <c r="D395">
        <v>2595.5830434782602</v>
      </c>
      <c r="E395" s="7">
        <v>161.801040645565</v>
      </c>
      <c r="F395">
        <v>394</v>
      </c>
      <c r="G395">
        <f t="shared" si="33"/>
        <v>2353.7441026918086</v>
      </c>
      <c r="H395">
        <f>(D395-G395)^2</f>
        <v>58486.073280712808</v>
      </c>
      <c r="I395">
        <f t="shared" si="34"/>
        <v>515388.89623436157</v>
      </c>
      <c r="J395">
        <f t="shared" si="35"/>
        <v>226639.75958826664</v>
      </c>
    </row>
    <row r="396" spans="1:10" x14ac:dyDescent="0.25">
      <c r="A396" t="str">
        <f t="shared" si="31"/>
        <v>2024</v>
      </c>
      <c r="B396" t="str">
        <f t="shared" si="32"/>
        <v>Novembre</v>
      </c>
      <c r="C396" s="7" t="s">
        <v>781</v>
      </c>
      <c r="D396">
        <v>2582.18857142857</v>
      </c>
      <c r="E396" s="7">
        <v>160.96606851012001</v>
      </c>
      <c r="F396">
        <v>395</v>
      </c>
      <c r="G396">
        <f t="shared" si="33"/>
        <v>2356.2431419025506</v>
      </c>
      <c r="H396">
        <f>(D396-G396)^2</f>
        <v>51051.337123697362</v>
      </c>
      <c r="I396">
        <f t="shared" si="34"/>
        <v>496336.36681265215</v>
      </c>
      <c r="J396">
        <f t="shared" si="35"/>
        <v>229025.4248334142</v>
      </c>
    </row>
    <row r="397" spans="1:10" x14ac:dyDescent="0.25">
      <c r="A397" t="str">
        <f t="shared" si="31"/>
        <v>2024</v>
      </c>
      <c r="B397" t="str">
        <f t="shared" si="32"/>
        <v>Décembre</v>
      </c>
      <c r="C397" s="7" t="s">
        <v>814</v>
      </c>
      <c r="D397">
        <v>2540.88227272727</v>
      </c>
      <c r="E397" s="7">
        <v>158.39115489605601</v>
      </c>
      <c r="F397">
        <v>396</v>
      </c>
      <c r="G397">
        <f t="shared" si="33"/>
        <v>2358.7421811132926</v>
      </c>
      <c r="H397">
        <f>(D397-G397)^2</f>
        <v>33175.012973148063</v>
      </c>
      <c r="I397">
        <f t="shared" si="34"/>
        <v>439841.05730038194</v>
      </c>
      <c r="J397">
        <f t="shared" si="35"/>
        <v>231423.58047251546</v>
      </c>
    </row>
    <row r="398" spans="1:10" x14ac:dyDescent="0.25">
      <c r="A398" t="str">
        <f t="shared" si="31"/>
        <v>2025</v>
      </c>
      <c r="B398" t="str">
        <f t="shared" si="32"/>
        <v>Janvier</v>
      </c>
      <c r="C398" s="7" t="s">
        <v>442</v>
      </c>
      <c r="D398">
        <v>2571.3704347826101</v>
      </c>
      <c r="E398" s="7">
        <v>160.29169757386401</v>
      </c>
      <c r="F398">
        <v>397</v>
      </c>
      <c r="G398">
        <f t="shared" si="33"/>
        <v>2361.2412203240347</v>
      </c>
      <c r="H398">
        <f>(D398-G398)^2</f>
        <v>44154.286768977996</v>
      </c>
      <c r="I398">
        <f t="shared" si="34"/>
        <v>481210.39687500225</v>
      </c>
      <c r="J398">
        <f t="shared" si="35"/>
        <v>233834.22650557032</v>
      </c>
    </row>
    <row r="399" spans="1:10" x14ac:dyDescent="0.25">
      <c r="A399" t="str">
        <f t="shared" si="31"/>
        <v>2025</v>
      </c>
      <c r="B399" t="str">
        <f t="shared" si="32"/>
        <v>février</v>
      </c>
      <c r="C399" s="7" t="s">
        <v>476</v>
      </c>
      <c r="D399">
        <v>2655.7725</v>
      </c>
      <c r="E399" s="7">
        <v>165.55307498158001</v>
      </c>
      <c r="F399">
        <v>398</v>
      </c>
      <c r="G399">
        <f t="shared" si="33"/>
        <v>2363.7402595347767</v>
      </c>
      <c r="H399">
        <f>(D399-G399)^2</f>
        <v>85282.829471138044</v>
      </c>
      <c r="I399">
        <f t="shared" si="34"/>
        <v>605432.40007613541</v>
      </c>
      <c r="J399">
        <f t="shared" si="35"/>
        <v>236257.36293257886</v>
      </c>
    </row>
    <row r="400" spans="1:10" x14ac:dyDescent="0.25">
      <c r="A400" t="str">
        <f t="shared" si="31"/>
        <v>2025</v>
      </c>
      <c r="B400" t="str">
        <f t="shared" si="32"/>
        <v>Mars</v>
      </c>
      <c r="C400" s="7" t="s">
        <v>510</v>
      </c>
      <c r="D400">
        <v>2651.5985714285698</v>
      </c>
      <c r="E400" s="7">
        <v>165.29288450601999</v>
      </c>
      <c r="F400">
        <v>399</v>
      </c>
      <c r="G400">
        <f t="shared" si="33"/>
        <v>2366.2392987455187</v>
      </c>
      <c r="H400">
        <f>(D400-G400)^2</f>
        <v>81429.91450619993</v>
      </c>
      <c r="I400">
        <f t="shared" si="34"/>
        <v>598954.39278899657</v>
      </c>
      <c r="J400">
        <f t="shared" si="35"/>
        <v>238692.98975354104</v>
      </c>
    </row>
    <row r="401" spans="1:10" x14ac:dyDescent="0.25">
      <c r="A401" t="str">
        <f t="shared" si="31"/>
        <v>2025</v>
      </c>
      <c r="B401" t="str">
        <f t="shared" si="32"/>
        <v>Avril</v>
      </c>
      <c r="C401" s="7" t="s">
        <v>544</v>
      </c>
      <c r="D401">
        <v>2367.8004545454601</v>
      </c>
      <c r="E401" s="7">
        <v>147.601741562119</v>
      </c>
      <c r="F401">
        <v>400</v>
      </c>
      <c r="G401">
        <f t="shared" si="33"/>
        <v>2368.7383379562607</v>
      </c>
      <c r="H401">
        <f>(D401-G401)^2</f>
        <v>0.87962529225501029</v>
      </c>
      <c r="I401">
        <f t="shared" si="34"/>
        <v>240220.87027820191</v>
      </c>
      <c r="J401">
        <f t="shared" si="35"/>
        <v>241141.10696845691</v>
      </c>
    </row>
    <row r="402" spans="1:10" x14ac:dyDescent="0.25">
      <c r="A402" t="str">
        <f t="shared" si="31"/>
        <v>2025</v>
      </c>
      <c r="B402" t="str">
        <f t="shared" si="32"/>
        <v>Mai</v>
      </c>
      <c r="C402" s="7" t="s">
        <v>578</v>
      </c>
      <c r="D402">
        <v>2447.34409090909</v>
      </c>
      <c r="E402" s="7">
        <v>152.56025875258501</v>
      </c>
      <c r="F402">
        <v>401</v>
      </c>
      <c r="G402">
        <f t="shared" si="33"/>
        <v>2371.2373771670027</v>
      </c>
      <c r="H402">
        <f>(D402-G402)^2</f>
        <v>5792.2318766200233</v>
      </c>
      <c r="I402">
        <f t="shared" si="34"/>
        <v>324520.44288161385</v>
      </c>
      <c r="J402">
        <f t="shared" si="35"/>
        <v>243601.71457732638</v>
      </c>
    </row>
    <row r="403" spans="1:10" x14ac:dyDescent="0.25">
      <c r="A403" t="str">
        <f t="shared" si="31"/>
        <v>2025</v>
      </c>
      <c r="B403" t="str">
        <f t="shared" si="32"/>
        <v>Juin</v>
      </c>
      <c r="C403" s="7" t="s">
        <v>612</v>
      </c>
      <c r="D403">
        <v>2525.9590476190501</v>
      </c>
      <c r="E403" s="7">
        <v>157.46088477491099</v>
      </c>
      <c r="F403">
        <v>402</v>
      </c>
      <c r="G403">
        <f t="shared" si="33"/>
        <v>2373.7364163777447</v>
      </c>
      <c r="H403">
        <f>(D403-G403)^2</f>
        <v>23171.729462026447</v>
      </c>
      <c r="I403">
        <f t="shared" si="34"/>
        <v>420269.44076321216</v>
      </c>
      <c r="J403">
        <f t="shared" si="35"/>
        <v>246074.81258014953</v>
      </c>
    </row>
    <row r="404" spans="1:10" x14ac:dyDescent="0.25">
      <c r="A404" t="str">
        <f t="shared" si="31"/>
        <v>2025</v>
      </c>
      <c r="B404" t="str">
        <f t="shared" si="32"/>
        <v>Juillet</v>
      </c>
      <c r="C404" s="7" t="s">
        <v>646</v>
      </c>
      <c r="D404">
        <v>2606.3708695652199</v>
      </c>
      <c r="E404" s="7">
        <v>162.47352211039799</v>
      </c>
      <c r="F404">
        <v>403</v>
      </c>
      <c r="G404">
        <f t="shared" si="33"/>
        <v>2376.2354555884867</v>
      </c>
      <c r="H404">
        <f>(D404-G404)^2</f>
        <v>52962.30876624235</v>
      </c>
      <c r="I404">
        <f t="shared" si="34"/>
        <v>530994.56164314342</v>
      </c>
      <c r="J404">
        <f t="shared" si="35"/>
        <v>248560.40097692632</v>
      </c>
    </row>
    <row r="405" spans="1:10" x14ac:dyDescent="0.25">
      <c r="A405" t="str">
        <f t="shared" si="31"/>
        <v>2025</v>
      </c>
      <c r="B405" t="str">
        <f t="shared" si="32"/>
        <v>Août</v>
      </c>
      <c r="C405" s="7" t="s">
        <v>680</v>
      </c>
      <c r="D405">
        <v>2598.7357142857099</v>
      </c>
      <c r="E405" s="7">
        <v>161.997568904887</v>
      </c>
      <c r="F405">
        <v>404</v>
      </c>
      <c r="G405">
        <f t="shared" si="33"/>
        <v>2378.7344947992292</v>
      </c>
      <c r="H405">
        <f>(D405-G405)^2</f>
        <v>48400.536575538674</v>
      </c>
      <c r="I405">
        <f t="shared" si="34"/>
        <v>519925.47758021607</v>
      </c>
      <c r="J405">
        <f t="shared" si="35"/>
        <v>251058.47976765723</v>
      </c>
    </row>
    <row r="406" spans="1:10" x14ac:dyDescent="0.25">
      <c r="A406" t="str">
        <f t="shared" si="31"/>
        <v>2025</v>
      </c>
      <c r="B406" t="str">
        <f t="shared" si="32"/>
        <v>Septembre</v>
      </c>
      <c r="C406" s="7" t="s">
        <v>714</v>
      </c>
      <c r="D406">
        <v>2654.4790909090898</v>
      </c>
      <c r="E406" s="7">
        <v>165.472447649153</v>
      </c>
      <c r="F406">
        <v>405</v>
      </c>
      <c r="G406">
        <f t="shared" si="33"/>
        <v>2381.2335340099712</v>
      </c>
      <c r="H406">
        <f>(D406-G406)^2</f>
        <v>74663.13436510945</v>
      </c>
      <c r="I406">
        <f t="shared" si="34"/>
        <v>603421.28174078348</v>
      </c>
      <c r="J406">
        <f t="shared" si="35"/>
        <v>253569.04895234134</v>
      </c>
    </row>
    <row r="407" spans="1:10" x14ac:dyDescent="0.25">
      <c r="A407" t="str">
        <f t="shared" si="31"/>
        <v>2025</v>
      </c>
      <c r="B407" t="str">
        <f t="shared" si="32"/>
        <v>Octobre</v>
      </c>
      <c r="C407" s="7" t="s">
        <v>748</v>
      </c>
      <c r="D407">
        <v>2793.0869565217399</v>
      </c>
      <c r="E407" s="7">
        <v>174.112855804899</v>
      </c>
      <c r="F407">
        <v>406</v>
      </c>
      <c r="G407">
        <f t="shared" si="33"/>
        <v>2383.7325732207132</v>
      </c>
      <c r="H407">
        <f>(D407-G407)^2</f>
        <v>167571.01112776389</v>
      </c>
      <c r="I407">
        <f t="shared" si="34"/>
        <v>837975.1449168917</v>
      </c>
      <c r="J407">
        <f t="shared" si="35"/>
        <v>256092.10853097908</v>
      </c>
    </row>
    <row r="408" spans="1:10" s="7" customFormat="1" x14ac:dyDescent="0.25"/>
    <row r="409" spans="1:10" s="8" customFormat="1" x14ac:dyDescent="0.25">
      <c r="A409" s="8" t="s">
        <v>824</v>
      </c>
      <c r="G409" s="8">
        <f>SUM(G2:G408)</f>
        <v>762336.91601645283</v>
      </c>
      <c r="H409" s="8">
        <f>SUM(H2:H408)</f>
        <v>57881266.172299765</v>
      </c>
      <c r="I409" s="8">
        <f t="shared" ref="I409:J409" si="36">SUM(I2:I408)</f>
        <v>92710214.483308837</v>
      </c>
      <c r="J409" s="8">
        <f t="shared" si="36"/>
        <v>34828948.311009102</v>
      </c>
    </row>
    <row r="410" spans="1:10" x14ac:dyDescent="0.25">
      <c r="H410" t="s">
        <v>827</v>
      </c>
      <c r="I410" t="s">
        <v>826</v>
      </c>
      <c r="J410" t="s">
        <v>825</v>
      </c>
    </row>
    <row r="411" spans="1:10" x14ac:dyDescent="0.25">
      <c r="I411">
        <f>J409+H409</f>
        <v>92710214.483308867</v>
      </c>
    </row>
    <row r="412" spans="1:10" x14ac:dyDescent="0.25">
      <c r="H412" t="s">
        <v>828</v>
      </c>
      <c r="I412">
        <f>H409/I409</f>
        <v>0.6243245848894079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7"/>
  <sheetViews>
    <sheetView workbookViewId="0">
      <selection activeCell="A2" sqref="A2"/>
    </sheetView>
  </sheetViews>
  <sheetFormatPr baseColWidth="10" defaultRowHeight="15" x14ac:dyDescent="0.25"/>
  <cols>
    <col min="1" max="1" width="24" style="5" bestFit="1" customWidth="1"/>
  </cols>
  <sheetData>
    <row r="1" spans="1:1" x14ac:dyDescent="0.25">
      <c r="A1" s="4" t="s">
        <v>0</v>
      </c>
    </row>
    <row r="2" spans="1:1" x14ac:dyDescent="0.25">
      <c r="A2" s="5" t="s">
        <v>1</v>
      </c>
    </row>
    <row r="3" spans="1:1" x14ac:dyDescent="0.25">
      <c r="A3" s="5" t="s">
        <v>2</v>
      </c>
    </row>
    <row r="4" spans="1:1" x14ac:dyDescent="0.25">
      <c r="A4" s="5" t="s">
        <v>3</v>
      </c>
    </row>
    <row r="5" spans="1:1" x14ac:dyDescent="0.25">
      <c r="A5" s="5" t="s">
        <v>4</v>
      </c>
    </row>
    <row r="6" spans="1:1" x14ac:dyDescent="0.25">
      <c r="A6" s="5" t="s">
        <v>5</v>
      </c>
    </row>
    <row r="7" spans="1:1" x14ac:dyDescent="0.25">
      <c r="A7" s="5" t="s">
        <v>6</v>
      </c>
    </row>
    <row r="8" spans="1:1" x14ac:dyDescent="0.25">
      <c r="A8" s="5" t="s">
        <v>7</v>
      </c>
    </row>
    <row r="9" spans="1:1" x14ac:dyDescent="0.25">
      <c r="A9" s="5" t="s">
        <v>8</v>
      </c>
    </row>
    <row r="10" spans="1:1" x14ac:dyDescent="0.25">
      <c r="A10" s="5" t="s">
        <v>9</v>
      </c>
    </row>
    <row r="11" spans="1:1" x14ac:dyDescent="0.25">
      <c r="A11" s="5" t="s">
        <v>10</v>
      </c>
    </row>
    <row r="12" spans="1:1" x14ac:dyDescent="0.25">
      <c r="A12" s="5" t="s">
        <v>11</v>
      </c>
    </row>
    <row r="13" spans="1:1" x14ac:dyDescent="0.25">
      <c r="A13" s="5" t="s">
        <v>12</v>
      </c>
    </row>
    <row r="14" spans="1:1" x14ac:dyDescent="0.25">
      <c r="A14" s="5" t="s">
        <v>13</v>
      </c>
    </row>
    <row r="15" spans="1:1" x14ac:dyDescent="0.25">
      <c r="A15" s="5" t="s">
        <v>14</v>
      </c>
    </row>
    <row r="16" spans="1:1" x14ac:dyDescent="0.25">
      <c r="A16" s="5" t="s">
        <v>15</v>
      </c>
    </row>
    <row r="17" spans="1:1" x14ac:dyDescent="0.25">
      <c r="A17" s="5" t="s">
        <v>16</v>
      </c>
    </row>
    <row r="18" spans="1:1" x14ac:dyDescent="0.25">
      <c r="A18" s="5" t="s">
        <v>17</v>
      </c>
    </row>
    <row r="19" spans="1:1" x14ac:dyDescent="0.25">
      <c r="A19" s="5" t="s">
        <v>18</v>
      </c>
    </row>
    <row r="20" spans="1:1" x14ac:dyDescent="0.25">
      <c r="A20" s="5" t="s">
        <v>19</v>
      </c>
    </row>
    <row r="21" spans="1:1" x14ac:dyDescent="0.25">
      <c r="A21" s="5" t="s">
        <v>20</v>
      </c>
    </row>
    <row r="22" spans="1:1" x14ac:dyDescent="0.25">
      <c r="A22" s="5" t="s">
        <v>21</v>
      </c>
    </row>
    <row r="23" spans="1:1" x14ac:dyDescent="0.25">
      <c r="A23" s="5" t="s">
        <v>22</v>
      </c>
    </row>
    <row r="24" spans="1:1" x14ac:dyDescent="0.25">
      <c r="A24" s="5" t="s">
        <v>23</v>
      </c>
    </row>
    <row r="25" spans="1:1" x14ac:dyDescent="0.25">
      <c r="A25" s="5" t="s">
        <v>24</v>
      </c>
    </row>
    <row r="26" spans="1:1" x14ac:dyDescent="0.25">
      <c r="A26" s="5" t="s">
        <v>25</v>
      </c>
    </row>
    <row r="27" spans="1:1" x14ac:dyDescent="0.25">
      <c r="A27" s="5" t="s">
        <v>26</v>
      </c>
    </row>
    <row r="28" spans="1:1" x14ac:dyDescent="0.25">
      <c r="A28" s="5" t="s">
        <v>27</v>
      </c>
    </row>
    <row r="29" spans="1:1" x14ac:dyDescent="0.25">
      <c r="A29" s="5" t="s">
        <v>28</v>
      </c>
    </row>
    <row r="30" spans="1:1" x14ac:dyDescent="0.25">
      <c r="A30" s="5" t="s">
        <v>29</v>
      </c>
    </row>
    <row r="31" spans="1:1" x14ac:dyDescent="0.25">
      <c r="A31" s="5" t="s">
        <v>30</v>
      </c>
    </row>
    <row r="32" spans="1:1" x14ac:dyDescent="0.25">
      <c r="A32" s="5" t="s">
        <v>31</v>
      </c>
    </row>
    <row r="33" spans="1:1" x14ac:dyDescent="0.25">
      <c r="A33" s="5" t="s">
        <v>32</v>
      </c>
    </row>
    <row r="34" spans="1:1" x14ac:dyDescent="0.25">
      <c r="A34" s="5" t="s">
        <v>33</v>
      </c>
    </row>
    <row r="35" spans="1:1" x14ac:dyDescent="0.25">
      <c r="A35" s="5" t="s">
        <v>34</v>
      </c>
    </row>
    <row r="36" spans="1:1" x14ac:dyDescent="0.25">
      <c r="A36" s="5" t="s">
        <v>35</v>
      </c>
    </row>
    <row r="37" spans="1:1" x14ac:dyDescent="0.25">
      <c r="A37" s="5" t="s">
        <v>36</v>
      </c>
    </row>
    <row r="38" spans="1:1" x14ac:dyDescent="0.25">
      <c r="A38" s="5" t="s">
        <v>37</v>
      </c>
    </row>
    <row r="39" spans="1:1" x14ac:dyDescent="0.25">
      <c r="A39" s="5" t="s">
        <v>38</v>
      </c>
    </row>
    <row r="40" spans="1:1" x14ac:dyDescent="0.25">
      <c r="A40" s="5" t="s">
        <v>39</v>
      </c>
    </row>
    <row r="41" spans="1:1" x14ac:dyDescent="0.25">
      <c r="A41" s="5" t="s">
        <v>40</v>
      </c>
    </row>
    <row r="42" spans="1:1" x14ac:dyDescent="0.25">
      <c r="A42" s="5" t="s">
        <v>41</v>
      </c>
    </row>
    <row r="43" spans="1:1" x14ac:dyDescent="0.25">
      <c r="A43" s="5" t="s">
        <v>42</v>
      </c>
    </row>
    <row r="44" spans="1:1" x14ac:dyDescent="0.25">
      <c r="A44" s="5" t="s">
        <v>43</v>
      </c>
    </row>
    <row r="45" spans="1:1" x14ac:dyDescent="0.25">
      <c r="A45" s="5" t="s">
        <v>44</v>
      </c>
    </row>
    <row r="46" spans="1:1" x14ac:dyDescent="0.25">
      <c r="A46" s="5" t="s">
        <v>45</v>
      </c>
    </row>
    <row r="47" spans="1:1" x14ac:dyDescent="0.25">
      <c r="A47" s="5" t="s">
        <v>46</v>
      </c>
    </row>
    <row r="48" spans="1:1" x14ac:dyDescent="0.25">
      <c r="A48" s="5" t="s">
        <v>47</v>
      </c>
    </row>
    <row r="49" spans="1:1" x14ac:dyDescent="0.25">
      <c r="A49" s="5" t="s">
        <v>48</v>
      </c>
    </row>
    <row r="50" spans="1:1" x14ac:dyDescent="0.25">
      <c r="A50" s="5" t="s">
        <v>49</v>
      </c>
    </row>
    <row r="51" spans="1:1" x14ac:dyDescent="0.25">
      <c r="A51" s="5" t="s">
        <v>50</v>
      </c>
    </row>
    <row r="52" spans="1:1" x14ac:dyDescent="0.25">
      <c r="A52" s="5" t="s">
        <v>51</v>
      </c>
    </row>
    <row r="53" spans="1:1" x14ac:dyDescent="0.25">
      <c r="A53" s="5" t="s">
        <v>52</v>
      </c>
    </row>
    <row r="54" spans="1:1" x14ac:dyDescent="0.25">
      <c r="A54" s="5" t="s">
        <v>53</v>
      </c>
    </row>
    <row r="55" spans="1:1" x14ac:dyDescent="0.25">
      <c r="A55" s="5" t="s">
        <v>54</v>
      </c>
    </row>
    <row r="56" spans="1:1" x14ac:dyDescent="0.25">
      <c r="A56" s="5" t="s">
        <v>55</v>
      </c>
    </row>
    <row r="57" spans="1:1" x14ac:dyDescent="0.25">
      <c r="A57" s="5" t="s">
        <v>56</v>
      </c>
    </row>
    <row r="58" spans="1:1" x14ac:dyDescent="0.25">
      <c r="A58" s="5" t="s">
        <v>57</v>
      </c>
    </row>
    <row r="59" spans="1:1" x14ac:dyDescent="0.25">
      <c r="A59" s="5" t="s">
        <v>58</v>
      </c>
    </row>
    <row r="60" spans="1:1" x14ac:dyDescent="0.25">
      <c r="A60" s="5" t="s">
        <v>59</v>
      </c>
    </row>
    <row r="61" spans="1:1" x14ac:dyDescent="0.25">
      <c r="A61" s="5" t="s">
        <v>60</v>
      </c>
    </row>
    <row r="62" spans="1:1" x14ac:dyDescent="0.25">
      <c r="A62" s="5" t="s">
        <v>61</v>
      </c>
    </row>
    <row r="63" spans="1:1" x14ac:dyDescent="0.25">
      <c r="A63" s="5" t="s">
        <v>62</v>
      </c>
    </row>
    <row r="64" spans="1:1" x14ac:dyDescent="0.25">
      <c r="A64" s="5" t="s">
        <v>63</v>
      </c>
    </row>
    <row r="65" spans="1:1" x14ac:dyDescent="0.25">
      <c r="A65" s="5" t="s">
        <v>64</v>
      </c>
    </row>
    <row r="66" spans="1:1" x14ac:dyDescent="0.25">
      <c r="A66" s="5" t="s">
        <v>65</v>
      </c>
    </row>
    <row r="67" spans="1:1" x14ac:dyDescent="0.25">
      <c r="A67" s="5" t="s">
        <v>66</v>
      </c>
    </row>
    <row r="68" spans="1:1" x14ac:dyDescent="0.25">
      <c r="A68" s="5" t="s">
        <v>67</v>
      </c>
    </row>
    <row r="69" spans="1:1" x14ac:dyDescent="0.25">
      <c r="A69" s="5" t="s">
        <v>68</v>
      </c>
    </row>
    <row r="70" spans="1:1" x14ac:dyDescent="0.25">
      <c r="A70" s="5" t="s">
        <v>69</v>
      </c>
    </row>
    <row r="71" spans="1:1" x14ac:dyDescent="0.25">
      <c r="A71" s="5" t="s">
        <v>70</v>
      </c>
    </row>
    <row r="72" spans="1:1" x14ac:dyDescent="0.25">
      <c r="A72" s="5" t="s">
        <v>71</v>
      </c>
    </row>
    <row r="73" spans="1:1" x14ac:dyDescent="0.25">
      <c r="A73" s="5" t="s">
        <v>72</v>
      </c>
    </row>
    <row r="74" spans="1:1" x14ac:dyDescent="0.25">
      <c r="A74" s="5" t="s">
        <v>73</v>
      </c>
    </row>
    <row r="75" spans="1:1" x14ac:dyDescent="0.25">
      <c r="A75" s="5" t="s">
        <v>74</v>
      </c>
    </row>
    <row r="76" spans="1:1" x14ac:dyDescent="0.25">
      <c r="A76" s="5" t="s">
        <v>75</v>
      </c>
    </row>
    <row r="77" spans="1:1" x14ac:dyDescent="0.25">
      <c r="A77" s="5" t="s">
        <v>76</v>
      </c>
    </row>
    <row r="78" spans="1:1" x14ac:dyDescent="0.25">
      <c r="A78" s="5" t="s">
        <v>77</v>
      </c>
    </row>
    <row r="79" spans="1:1" x14ac:dyDescent="0.25">
      <c r="A79" s="5" t="s">
        <v>78</v>
      </c>
    </row>
    <row r="80" spans="1:1" x14ac:dyDescent="0.25">
      <c r="A80" s="5" t="s">
        <v>79</v>
      </c>
    </row>
    <row r="81" spans="1:1" x14ac:dyDescent="0.25">
      <c r="A81" s="5" t="s">
        <v>80</v>
      </c>
    </row>
    <row r="82" spans="1:1" x14ac:dyDescent="0.25">
      <c r="A82" s="5" t="s">
        <v>81</v>
      </c>
    </row>
    <row r="83" spans="1:1" x14ac:dyDescent="0.25">
      <c r="A83" s="5" t="s">
        <v>82</v>
      </c>
    </row>
    <row r="84" spans="1:1" x14ac:dyDescent="0.25">
      <c r="A84" s="5" t="s">
        <v>83</v>
      </c>
    </row>
    <row r="85" spans="1:1" x14ac:dyDescent="0.25">
      <c r="A85" s="5" t="s">
        <v>84</v>
      </c>
    </row>
    <row r="86" spans="1:1" x14ac:dyDescent="0.25">
      <c r="A86" s="5" t="s">
        <v>85</v>
      </c>
    </row>
    <row r="87" spans="1:1" x14ac:dyDescent="0.25">
      <c r="A87" s="5" t="s">
        <v>86</v>
      </c>
    </row>
    <row r="88" spans="1:1" x14ac:dyDescent="0.25">
      <c r="A88" s="5" t="s">
        <v>87</v>
      </c>
    </row>
    <row r="89" spans="1:1" x14ac:dyDescent="0.25">
      <c r="A89" s="5" t="s">
        <v>88</v>
      </c>
    </row>
    <row r="90" spans="1:1" x14ac:dyDescent="0.25">
      <c r="A90" s="5" t="s">
        <v>89</v>
      </c>
    </row>
    <row r="91" spans="1:1" x14ac:dyDescent="0.25">
      <c r="A91" s="5" t="s">
        <v>90</v>
      </c>
    </row>
    <row r="92" spans="1:1" x14ac:dyDescent="0.25">
      <c r="A92" s="5" t="s">
        <v>91</v>
      </c>
    </row>
    <row r="93" spans="1:1" x14ac:dyDescent="0.25">
      <c r="A93" s="5" t="s">
        <v>92</v>
      </c>
    </row>
    <row r="94" spans="1:1" x14ac:dyDescent="0.25">
      <c r="A94" s="5" t="s">
        <v>93</v>
      </c>
    </row>
    <row r="95" spans="1:1" x14ac:dyDescent="0.25">
      <c r="A95" s="5" t="s">
        <v>94</v>
      </c>
    </row>
    <row r="96" spans="1:1" x14ac:dyDescent="0.25">
      <c r="A96" s="5" t="s">
        <v>95</v>
      </c>
    </row>
    <row r="97" spans="1:1" x14ac:dyDescent="0.25">
      <c r="A97" s="5" t="s">
        <v>96</v>
      </c>
    </row>
    <row r="98" spans="1:1" x14ac:dyDescent="0.25">
      <c r="A98" s="5" t="s">
        <v>97</v>
      </c>
    </row>
    <row r="99" spans="1:1" x14ac:dyDescent="0.25">
      <c r="A99" s="5" t="s">
        <v>98</v>
      </c>
    </row>
    <row r="100" spans="1:1" x14ac:dyDescent="0.25">
      <c r="A100" s="5" t="s">
        <v>99</v>
      </c>
    </row>
    <row r="101" spans="1:1" x14ac:dyDescent="0.25">
      <c r="A101" s="5" t="s">
        <v>100</v>
      </c>
    </row>
    <row r="102" spans="1:1" x14ac:dyDescent="0.25">
      <c r="A102" s="5" t="s">
        <v>101</v>
      </c>
    </row>
    <row r="103" spans="1:1" x14ac:dyDescent="0.25">
      <c r="A103" s="5" t="s">
        <v>102</v>
      </c>
    </row>
    <row r="104" spans="1:1" x14ac:dyDescent="0.25">
      <c r="A104" s="5" t="s">
        <v>103</v>
      </c>
    </row>
    <row r="105" spans="1:1" x14ac:dyDescent="0.25">
      <c r="A105" s="5" t="s">
        <v>104</v>
      </c>
    </row>
    <row r="106" spans="1:1" x14ac:dyDescent="0.25">
      <c r="A106" s="5" t="s">
        <v>105</v>
      </c>
    </row>
    <row r="107" spans="1:1" x14ac:dyDescent="0.25">
      <c r="A107" s="5" t="s">
        <v>106</v>
      </c>
    </row>
    <row r="108" spans="1:1" x14ac:dyDescent="0.25">
      <c r="A108" s="5" t="s">
        <v>107</v>
      </c>
    </row>
    <row r="109" spans="1:1" x14ac:dyDescent="0.25">
      <c r="A109" s="5" t="s">
        <v>108</v>
      </c>
    </row>
    <row r="110" spans="1:1" x14ac:dyDescent="0.25">
      <c r="A110" s="5" t="s">
        <v>109</v>
      </c>
    </row>
    <row r="111" spans="1:1" x14ac:dyDescent="0.25">
      <c r="A111" s="5" t="s">
        <v>110</v>
      </c>
    </row>
    <row r="112" spans="1:1" x14ac:dyDescent="0.25">
      <c r="A112" s="5" t="s">
        <v>111</v>
      </c>
    </row>
    <row r="113" spans="1:1" x14ac:dyDescent="0.25">
      <c r="A113" s="5" t="s">
        <v>112</v>
      </c>
    </row>
    <row r="114" spans="1:1" x14ac:dyDescent="0.25">
      <c r="A114" s="5" t="s">
        <v>113</v>
      </c>
    </row>
    <row r="115" spans="1:1" x14ac:dyDescent="0.25">
      <c r="A115" s="5" t="s">
        <v>114</v>
      </c>
    </row>
    <row r="116" spans="1:1" x14ac:dyDescent="0.25">
      <c r="A116" s="5" t="s">
        <v>115</v>
      </c>
    </row>
    <row r="117" spans="1:1" x14ac:dyDescent="0.25">
      <c r="A117" s="5" t="s">
        <v>116</v>
      </c>
    </row>
    <row r="118" spans="1:1" x14ac:dyDescent="0.25">
      <c r="A118" s="5" t="s">
        <v>117</v>
      </c>
    </row>
    <row r="119" spans="1:1" x14ac:dyDescent="0.25">
      <c r="A119" s="5" t="s">
        <v>118</v>
      </c>
    </row>
    <row r="120" spans="1:1" x14ac:dyDescent="0.25">
      <c r="A120" s="5" t="s">
        <v>119</v>
      </c>
    </row>
    <row r="121" spans="1:1" x14ac:dyDescent="0.25">
      <c r="A121" s="5" t="s">
        <v>120</v>
      </c>
    </row>
    <row r="122" spans="1:1" x14ac:dyDescent="0.25">
      <c r="A122" s="5" t="s">
        <v>121</v>
      </c>
    </row>
    <row r="123" spans="1:1" x14ac:dyDescent="0.25">
      <c r="A123" s="5" t="s">
        <v>122</v>
      </c>
    </row>
    <row r="124" spans="1:1" x14ac:dyDescent="0.25">
      <c r="A124" s="5" t="s">
        <v>123</v>
      </c>
    </row>
    <row r="125" spans="1:1" x14ac:dyDescent="0.25">
      <c r="A125" s="5" t="s">
        <v>124</v>
      </c>
    </row>
    <row r="126" spans="1:1" x14ac:dyDescent="0.25">
      <c r="A126" s="5" t="s">
        <v>125</v>
      </c>
    </row>
    <row r="127" spans="1:1" x14ac:dyDescent="0.25">
      <c r="A127" s="5" t="s">
        <v>126</v>
      </c>
    </row>
    <row r="128" spans="1:1" x14ac:dyDescent="0.25">
      <c r="A128" s="5" t="s">
        <v>127</v>
      </c>
    </row>
    <row r="129" spans="1:1" x14ac:dyDescent="0.25">
      <c r="A129" s="5" t="s">
        <v>128</v>
      </c>
    </row>
    <row r="130" spans="1:1" x14ac:dyDescent="0.25">
      <c r="A130" s="5" t="s">
        <v>129</v>
      </c>
    </row>
    <row r="131" spans="1:1" x14ac:dyDescent="0.25">
      <c r="A131" s="5" t="s">
        <v>130</v>
      </c>
    </row>
    <row r="132" spans="1:1" x14ac:dyDescent="0.25">
      <c r="A132" s="5" t="s">
        <v>131</v>
      </c>
    </row>
    <row r="133" spans="1:1" x14ac:dyDescent="0.25">
      <c r="A133" s="5" t="s">
        <v>132</v>
      </c>
    </row>
    <row r="134" spans="1:1" x14ac:dyDescent="0.25">
      <c r="A134" s="5" t="s">
        <v>133</v>
      </c>
    </row>
    <row r="135" spans="1:1" x14ac:dyDescent="0.25">
      <c r="A135" s="5" t="s">
        <v>134</v>
      </c>
    </row>
    <row r="136" spans="1:1" x14ac:dyDescent="0.25">
      <c r="A136" s="5" t="s">
        <v>135</v>
      </c>
    </row>
    <row r="137" spans="1:1" x14ac:dyDescent="0.25">
      <c r="A137" s="5" t="s">
        <v>136</v>
      </c>
    </row>
    <row r="138" spans="1:1" x14ac:dyDescent="0.25">
      <c r="A138" s="5" t="s">
        <v>137</v>
      </c>
    </row>
    <row r="139" spans="1:1" x14ac:dyDescent="0.25">
      <c r="A139" s="5" t="s">
        <v>138</v>
      </c>
    </row>
    <row r="140" spans="1:1" x14ac:dyDescent="0.25">
      <c r="A140" s="5" t="s">
        <v>139</v>
      </c>
    </row>
    <row r="141" spans="1:1" x14ac:dyDescent="0.25">
      <c r="A141" s="5" t="s">
        <v>140</v>
      </c>
    </row>
    <row r="142" spans="1:1" x14ac:dyDescent="0.25">
      <c r="A142" s="5" t="s">
        <v>141</v>
      </c>
    </row>
    <row r="143" spans="1:1" x14ac:dyDescent="0.25">
      <c r="A143" s="5" t="s">
        <v>142</v>
      </c>
    </row>
    <row r="144" spans="1:1" x14ac:dyDescent="0.25">
      <c r="A144" s="5" t="s">
        <v>143</v>
      </c>
    </row>
    <row r="145" spans="1:1" x14ac:dyDescent="0.25">
      <c r="A145" s="5" t="s">
        <v>144</v>
      </c>
    </row>
    <row r="146" spans="1:1" x14ac:dyDescent="0.25">
      <c r="A146" s="5" t="s">
        <v>145</v>
      </c>
    </row>
    <row r="147" spans="1:1" x14ac:dyDescent="0.25">
      <c r="A147" s="5" t="s">
        <v>146</v>
      </c>
    </row>
    <row r="148" spans="1:1" x14ac:dyDescent="0.25">
      <c r="A148" s="5" t="s">
        <v>147</v>
      </c>
    </row>
    <row r="149" spans="1:1" x14ac:dyDescent="0.25">
      <c r="A149" s="5" t="s">
        <v>148</v>
      </c>
    </row>
    <row r="150" spans="1:1" x14ac:dyDescent="0.25">
      <c r="A150" s="5" t="s">
        <v>149</v>
      </c>
    </row>
    <row r="151" spans="1:1" x14ac:dyDescent="0.25">
      <c r="A151" s="5" t="s">
        <v>150</v>
      </c>
    </row>
    <row r="152" spans="1:1" x14ac:dyDescent="0.25">
      <c r="A152" s="5" t="s">
        <v>151</v>
      </c>
    </row>
    <row r="153" spans="1:1" x14ac:dyDescent="0.25">
      <c r="A153" s="5" t="s">
        <v>152</v>
      </c>
    </row>
    <row r="154" spans="1:1" x14ac:dyDescent="0.25">
      <c r="A154" s="5" t="s">
        <v>153</v>
      </c>
    </row>
    <row r="155" spans="1:1" x14ac:dyDescent="0.25">
      <c r="A155" s="5" t="s">
        <v>154</v>
      </c>
    </row>
    <row r="156" spans="1:1" x14ac:dyDescent="0.25">
      <c r="A156" s="5" t="s">
        <v>155</v>
      </c>
    </row>
    <row r="157" spans="1:1" x14ac:dyDescent="0.25">
      <c r="A157" s="5" t="s">
        <v>156</v>
      </c>
    </row>
    <row r="158" spans="1:1" x14ac:dyDescent="0.25">
      <c r="A158" s="5" t="s">
        <v>157</v>
      </c>
    </row>
    <row r="159" spans="1:1" x14ac:dyDescent="0.25">
      <c r="A159" s="5" t="s">
        <v>158</v>
      </c>
    </row>
    <row r="160" spans="1:1" x14ac:dyDescent="0.25">
      <c r="A160" s="5" t="s">
        <v>159</v>
      </c>
    </row>
    <row r="161" spans="1:1" x14ac:dyDescent="0.25">
      <c r="A161" s="5" t="s">
        <v>160</v>
      </c>
    </row>
    <row r="162" spans="1:1" x14ac:dyDescent="0.25">
      <c r="A162" s="5" t="s">
        <v>161</v>
      </c>
    </row>
    <row r="163" spans="1:1" x14ac:dyDescent="0.25">
      <c r="A163" s="5" t="s">
        <v>162</v>
      </c>
    </row>
    <row r="164" spans="1:1" x14ac:dyDescent="0.25">
      <c r="A164" s="5" t="s">
        <v>163</v>
      </c>
    </row>
    <row r="165" spans="1:1" x14ac:dyDescent="0.25">
      <c r="A165" s="5" t="s">
        <v>164</v>
      </c>
    </row>
    <row r="166" spans="1:1" x14ac:dyDescent="0.25">
      <c r="A166" s="5" t="s">
        <v>165</v>
      </c>
    </row>
    <row r="167" spans="1:1" x14ac:dyDescent="0.25">
      <c r="A167" s="5" t="s">
        <v>166</v>
      </c>
    </row>
    <row r="168" spans="1:1" x14ac:dyDescent="0.25">
      <c r="A168" s="5" t="s">
        <v>167</v>
      </c>
    </row>
    <row r="169" spans="1:1" x14ac:dyDescent="0.25">
      <c r="A169" s="5" t="s">
        <v>168</v>
      </c>
    </row>
    <row r="170" spans="1:1" x14ac:dyDescent="0.25">
      <c r="A170" s="5" t="s">
        <v>169</v>
      </c>
    </row>
    <row r="171" spans="1:1" x14ac:dyDescent="0.25">
      <c r="A171" s="5" t="s">
        <v>170</v>
      </c>
    </row>
    <row r="172" spans="1:1" x14ac:dyDescent="0.25">
      <c r="A172" s="5" t="s">
        <v>171</v>
      </c>
    </row>
    <row r="173" spans="1:1" x14ac:dyDescent="0.25">
      <c r="A173" s="5" t="s">
        <v>172</v>
      </c>
    </row>
    <row r="174" spans="1:1" x14ac:dyDescent="0.25">
      <c r="A174" s="5" t="s">
        <v>173</v>
      </c>
    </row>
    <row r="175" spans="1:1" x14ac:dyDescent="0.25">
      <c r="A175" s="5" t="s">
        <v>174</v>
      </c>
    </row>
    <row r="176" spans="1:1" x14ac:dyDescent="0.25">
      <c r="A176" s="5" t="s">
        <v>175</v>
      </c>
    </row>
    <row r="177" spans="1:1" x14ac:dyDescent="0.25">
      <c r="A177" s="5" t="s">
        <v>176</v>
      </c>
    </row>
    <row r="178" spans="1:1" x14ac:dyDescent="0.25">
      <c r="A178" s="5" t="s">
        <v>177</v>
      </c>
    </row>
    <row r="179" spans="1:1" x14ac:dyDescent="0.25">
      <c r="A179" s="5" t="s">
        <v>178</v>
      </c>
    </row>
    <row r="180" spans="1:1" x14ac:dyDescent="0.25">
      <c r="A180" s="5" t="s">
        <v>179</v>
      </c>
    </row>
    <row r="181" spans="1:1" x14ac:dyDescent="0.25">
      <c r="A181" s="5" t="s">
        <v>180</v>
      </c>
    </row>
    <row r="182" spans="1:1" x14ac:dyDescent="0.25">
      <c r="A182" s="5" t="s">
        <v>181</v>
      </c>
    </row>
    <row r="183" spans="1:1" x14ac:dyDescent="0.25">
      <c r="A183" s="5" t="s">
        <v>182</v>
      </c>
    </row>
    <row r="184" spans="1:1" x14ac:dyDescent="0.25">
      <c r="A184" s="5" t="s">
        <v>183</v>
      </c>
    </row>
    <row r="185" spans="1:1" x14ac:dyDescent="0.25">
      <c r="A185" s="5" t="s">
        <v>184</v>
      </c>
    </row>
    <row r="186" spans="1:1" x14ac:dyDescent="0.25">
      <c r="A186" s="5" t="s">
        <v>185</v>
      </c>
    </row>
    <row r="187" spans="1:1" x14ac:dyDescent="0.25">
      <c r="A187" s="5" t="s">
        <v>186</v>
      </c>
    </row>
    <row r="188" spans="1:1" x14ac:dyDescent="0.25">
      <c r="A188" s="5" t="s">
        <v>187</v>
      </c>
    </row>
    <row r="189" spans="1:1" x14ac:dyDescent="0.25">
      <c r="A189" s="5" t="s">
        <v>188</v>
      </c>
    </row>
    <row r="190" spans="1:1" x14ac:dyDescent="0.25">
      <c r="A190" s="5" t="s">
        <v>189</v>
      </c>
    </row>
    <row r="191" spans="1:1" x14ac:dyDescent="0.25">
      <c r="A191" s="5" t="s">
        <v>190</v>
      </c>
    </row>
    <row r="192" spans="1:1" x14ac:dyDescent="0.25">
      <c r="A192" s="5" t="s">
        <v>191</v>
      </c>
    </row>
    <row r="193" spans="1:1" x14ac:dyDescent="0.25">
      <c r="A193" s="5" t="s">
        <v>192</v>
      </c>
    </row>
    <row r="194" spans="1:1" x14ac:dyDescent="0.25">
      <c r="A194" s="5" t="s">
        <v>193</v>
      </c>
    </row>
    <row r="195" spans="1:1" x14ac:dyDescent="0.25">
      <c r="A195" s="5" t="s">
        <v>194</v>
      </c>
    </row>
    <row r="196" spans="1:1" x14ac:dyDescent="0.25">
      <c r="A196" s="5" t="s">
        <v>195</v>
      </c>
    </row>
    <row r="197" spans="1:1" x14ac:dyDescent="0.25">
      <c r="A197" s="5" t="s">
        <v>196</v>
      </c>
    </row>
    <row r="198" spans="1:1" x14ac:dyDescent="0.25">
      <c r="A198" s="5" t="s">
        <v>197</v>
      </c>
    </row>
    <row r="199" spans="1:1" x14ac:dyDescent="0.25">
      <c r="A199" s="5" t="s">
        <v>198</v>
      </c>
    </row>
    <row r="200" spans="1:1" x14ac:dyDescent="0.25">
      <c r="A200" s="5" t="s">
        <v>199</v>
      </c>
    </row>
    <row r="201" spans="1:1" x14ac:dyDescent="0.25">
      <c r="A201" s="5" t="s">
        <v>200</v>
      </c>
    </row>
    <row r="202" spans="1:1" x14ac:dyDescent="0.25">
      <c r="A202" s="5" t="s">
        <v>201</v>
      </c>
    </row>
    <row r="203" spans="1:1" x14ac:dyDescent="0.25">
      <c r="A203" s="5" t="s">
        <v>202</v>
      </c>
    </row>
    <row r="204" spans="1:1" x14ac:dyDescent="0.25">
      <c r="A204" s="5" t="s">
        <v>203</v>
      </c>
    </row>
    <row r="205" spans="1:1" x14ac:dyDescent="0.25">
      <c r="A205" s="5" t="s">
        <v>204</v>
      </c>
    </row>
    <row r="206" spans="1:1" x14ac:dyDescent="0.25">
      <c r="A206" s="5" t="s">
        <v>205</v>
      </c>
    </row>
    <row r="207" spans="1:1" x14ac:dyDescent="0.25">
      <c r="A207" s="5" t="s">
        <v>206</v>
      </c>
    </row>
    <row r="208" spans="1:1" x14ac:dyDescent="0.25">
      <c r="A208" s="5" t="s">
        <v>207</v>
      </c>
    </row>
    <row r="209" spans="1:1" x14ac:dyDescent="0.25">
      <c r="A209" s="5" t="s">
        <v>208</v>
      </c>
    </row>
    <row r="210" spans="1:1" x14ac:dyDescent="0.25">
      <c r="A210" s="5" t="s">
        <v>209</v>
      </c>
    </row>
    <row r="211" spans="1:1" x14ac:dyDescent="0.25">
      <c r="A211" s="5" t="s">
        <v>210</v>
      </c>
    </row>
    <row r="212" spans="1:1" x14ac:dyDescent="0.25">
      <c r="A212" s="5" t="s">
        <v>211</v>
      </c>
    </row>
    <row r="213" spans="1:1" x14ac:dyDescent="0.25">
      <c r="A213" s="5" t="s">
        <v>212</v>
      </c>
    </row>
    <row r="214" spans="1:1" x14ac:dyDescent="0.25">
      <c r="A214" s="5" t="s">
        <v>213</v>
      </c>
    </row>
    <row r="215" spans="1:1" x14ac:dyDescent="0.25">
      <c r="A215" s="5" t="s">
        <v>214</v>
      </c>
    </row>
    <row r="216" spans="1:1" x14ac:dyDescent="0.25">
      <c r="A216" s="5" t="s">
        <v>215</v>
      </c>
    </row>
    <row r="217" spans="1:1" x14ac:dyDescent="0.25">
      <c r="A217" s="5" t="s">
        <v>216</v>
      </c>
    </row>
    <row r="218" spans="1:1" x14ac:dyDescent="0.25">
      <c r="A218" s="5" t="s">
        <v>217</v>
      </c>
    </row>
    <row r="219" spans="1:1" x14ac:dyDescent="0.25">
      <c r="A219" s="5" t="s">
        <v>218</v>
      </c>
    </row>
    <row r="220" spans="1:1" x14ac:dyDescent="0.25">
      <c r="A220" s="5" t="s">
        <v>219</v>
      </c>
    </row>
    <row r="221" spans="1:1" x14ac:dyDescent="0.25">
      <c r="A221" s="5" t="s">
        <v>220</v>
      </c>
    </row>
    <row r="222" spans="1:1" x14ac:dyDescent="0.25">
      <c r="A222" s="5" t="s">
        <v>221</v>
      </c>
    </row>
    <row r="223" spans="1:1" x14ac:dyDescent="0.25">
      <c r="A223" s="5" t="s">
        <v>222</v>
      </c>
    </row>
    <row r="224" spans="1:1" x14ac:dyDescent="0.25">
      <c r="A224" s="5" t="s">
        <v>223</v>
      </c>
    </row>
    <row r="225" spans="1:1" x14ac:dyDescent="0.25">
      <c r="A225" s="5" t="s">
        <v>224</v>
      </c>
    </row>
    <row r="226" spans="1:1" x14ac:dyDescent="0.25">
      <c r="A226" s="5" t="s">
        <v>225</v>
      </c>
    </row>
    <row r="227" spans="1:1" x14ac:dyDescent="0.25">
      <c r="A227" s="5" t="s">
        <v>226</v>
      </c>
    </row>
    <row r="228" spans="1:1" x14ac:dyDescent="0.25">
      <c r="A228" s="5" t="s">
        <v>227</v>
      </c>
    </row>
    <row r="229" spans="1:1" x14ac:dyDescent="0.25">
      <c r="A229" s="5" t="s">
        <v>228</v>
      </c>
    </row>
    <row r="230" spans="1:1" x14ac:dyDescent="0.25">
      <c r="A230" s="5" t="s">
        <v>229</v>
      </c>
    </row>
    <row r="231" spans="1:1" x14ac:dyDescent="0.25">
      <c r="A231" s="5" t="s">
        <v>230</v>
      </c>
    </row>
    <row r="232" spans="1:1" x14ac:dyDescent="0.25">
      <c r="A232" s="5" t="s">
        <v>231</v>
      </c>
    </row>
    <row r="233" spans="1:1" x14ac:dyDescent="0.25">
      <c r="A233" s="5" t="s">
        <v>232</v>
      </c>
    </row>
    <row r="234" spans="1:1" x14ac:dyDescent="0.25">
      <c r="A234" s="5" t="s">
        <v>233</v>
      </c>
    </row>
    <row r="235" spans="1:1" x14ac:dyDescent="0.25">
      <c r="A235" s="5" t="s">
        <v>234</v>
      </c>
    </row>
    <row r="236" spans="1:1" x14ac:dyDescent="0.25">
      <c r="A236" s="5" t="s">
        <v>235</v>
      </c>
    </row>
    <row r="237" spans="1:1" x14ac:dyDescent="0.25">
      <c r="A237" s="5" t="s">
        <v>236</v>
      </c>
    </row>
    <row r="238" spans="1:1" x14ac:dyDescent="0.25">
      <c r="A238" s="5" t="s">
        <v>237</v>
      </c>
    </row>
    <row r="239" spans="1:1" x14ac:dyDescent="0.25">
      <c r="A239" s="5" t="s">
        <v>238</v>
      </c>
    </row>
    <row r="240" spans="1:1" x14ac:dyDescent="0.25">
      <c r="A240" s="5" t="s">
        <v>239</v>
      </c>
    </row>
    <row r="241" spans="1:1" x14ac:dyDescent="0.25">
      <c r="A241" s="5" t="s">
        <v>240</v>
      </c>
    </row>
    <row r="242" spans="1:1" x14ac:dyDescent="0.25">
      <c r="A242" s="5" t="s">
        <v>241</v>
      </c>
    </row>
    <row r="243" spans="1:1" x14ac:dyDescent="0.25">
      <c r="A243" s="5" t="s">
        <v>242</v>
      </c>
    </row>
    <row r="244" spans="1:1" x14ac:dyDescent="0.25">
      <c r="A244" s="5" t="s">
        <v>243</v>
      </c>
    </row>
    <row r="245" spans="1:1" x14ac:dyDescent="0.25">
      <c r="A245" s="5" t="s">
        <v>244</v>
      </c>
    </row>
    <row r="246" spans="1:1" x14ac:dyDescent="0.25">
      <c r="A246" s="5" t="s">
        <v>245</v>
      </c>
    </row>
    <row r="247" spans="1:1" x14ac:dyDescent="0.25">
      <c r="A247" s="5" t="s">
        <v>246</v>
      </c>
    </row>
    <row r="248" spans="1:1" x14ac:dyDescent="0.25">
      <c r="A248" s="5" t="s">
        <v>247</v>
      </c>
    </row>
    <row r="249" spans="1:1" x14ac:dyDescent="0.25">
      <c r="A249" s="5" t="s">
        <v>248</v>
      </c>
    </row>
    <row r="250" spans="1:1" x14ac:dyDescent="0.25">
      <c r="A250" s="5" t="s">
        <v>249</v>
      </c>
    </row>
    <row r="251" spans="1:1" x14ac:dyDescent="0.25">
      <c r="A251" s="5" t="s">
        <v>250</v>
      </c>
    </row>
    <row r="252" spans="1:1" x14ac:dyDescent="0.25">
      <c r="A252" s="5" t="s">
        <v>251</v>
      </c>
    </row>
    <row r="253" spans="1:1" x14ac:dyDescent="0.25">
      <c r="A253" s="5" t="s">
        <v>252</v>
      </c>
    </row>
    <row r="254" spans="1:1" x14ac:dyDescent="0.25">
      <c r="A254" s="5" t="s">
        <v>253</v>
      </c>
    </row>
    <row r="255" spans="1:1" x14ac:dyDescent="0.25">
      <c r="A255" s="5" t="s">
        <v>254</v>
      </c>
    </row>
    <row r="256" spans="1:1" x14ac:dyDescent="0.25">
      <c r="A256" s="5" t="s">
        <v>255</v>
      </c>
    </row>
    <row r="257" spans="1:1" x14ac:dyDescent="0.25">
      <c r="A257" s="5" t="s">
        <v>256</v>
      </c>
    </row>
    <row r="258" spans="1:1" x14ac:dyDescent="0.25">
      <c r="A258" s="5" t="s">
        <v>257</v>
      </c>
    </row>
    <row r="259" spans="1:1" x14ac:dyDescent="0.25">
      <c r="A259" s="5" t="s">
        <v>258</v>
      </c>
    </row>
    <row r="260" spans="1:1" x14ac:dyDescent="0.25">
      <c r="A260" s="5" t="s">
        <v>259</v>
      </c>
    </row>
    <row r="261" spans="1:1" x14ac:dyDescent="0.25">
      <c r="A261" s="5" t="s">
        <v>260</v>
      </c>
    </row>
    <row r="262" spans="1:1" x14ac:dyDescent="0.25">
      <c r="A262" s="5" t="s">
        <v>261</v>
      </c>
    </row>
    <row r="263" spans="1:1" x14ac:dyDescent="0.25">
      <c r="A263" s="5" t="s">
        <v>262</v>
      </c>
    </row>
    <row r="264" spans="1:1" x14ac:dyDescent="0.25">
      <c r="A264" s="5" t="s">
        <v>263</v>
      </c>
    </row>
    <row r="265" spans="1:1" x14ac:dyDescent="0.25">
      <c r="A265" s="5" t="s">
        <v>264</v>
      </c>
    </row>
    <row r="266" spans="1:1" x14ac:dyDescent="0.25">
      <c r="A266" s="5" t="s">
        <v>265</v>
      </c>
    </row>
    <row r="267" spans="1:1" x14ac:dyDescent="0.25">
      <c r="A267" s="5" t="s">
        <v>266</v>
      </c>
    </row>
    <row r="268" spans="1:1" x14ac:dyDescent="0.25">
      <c r="A268" s="5" t="s">
        <v>267</v>
      </c>
    </row>
    <row r="269" spans="1:1" x14ac:dyDescent="0.25">
      <c r="A269" s="5" t="s">
        <v>268</v>
      </c>
    </row>
    <row r="270" spans="1:1" x14ac:dyDescent="0.25">
      <c r="A270" s="5" t="s">
        <v>269</v>
      </c>
    </row>
    <row r="271" spans="1:1" x14ac:dyDescent="0.25">
      <c r="A271" s="5" t="s">
        <v>270</v>
      </c>
    </row>
    <row r="272" spans="1:1" x14ac:dyDescent="0.25">
      <c r="A272" s="5" t="s">
        <v>271</v>
      </c>
    </row>
    <row r="273" spans="1:1" x14ac:dyDescent="0.25">
      <c r="A273" s="5" t="s">
        <v>272</v>
      </c>
    </row>
    <row r="274" spans="1:1" x14ac:dyDescent="0.25">
      <c r="A274" s="5" t="s">
        <v>273</v>
      </c>
    </row>
    <row r="275" spans="1:1" x14ac:dyDescent="0.25">
      <c r="A275" s="5" t="s">
        <v>274</v>
      </c>
    </row>
    <row r="276" spans="1:1" x14ac:dyDescent="0.25">
      <c r="A276" s="5" t="s">
        <v>275</v>
      </c>
    </row>
    <row r="277" spans="1:1" x14ac:dyDescent="0.25">
      <c r="A277" s="5" t="s">
        <v>276</v>
      </c>
    </row>
    <row r="278" spans="1:1" x14ac:dyDescent="0.25">
      <c r="A278" s="5" t="s">
        <v>277</v>
      </c>
    </row>
    <row r="279" spans="1:1" x14ac:dyDescent="0.25">
      <c r="A279" s="5" t="s">
        <v>278</v>
      </c>
    </row>
    <row r="280" spans="1:1" x14ac:dyDescent="0.25">
      <c r="A280" s="5" t="s">
        <v>279</v>
      </c>
    </row>
    <row r="281" spans="1:1" x14ac:dyDescent="0.25">
      <c r="A281" s="5" t="s">
        <v>280</v>
      </c>
    </row>
    <row r="282" spans="1:1" x14ac:dyDescent="0.25">
      <c r="A282" s="5" t="s">
        <v>281</v>
      </c>
    </row>
    <row r="283" spans="1:1" x14ac:dyDescent="0.25">
      <c r="A283" s="5" t="s">
        <v>282</v>
      </c>
    </row>
    <row r="284" spans="1:1" x14ac:dyDescent="0.25">
      <c r="A284" s="5" t="s">
        <v>283</v>
      </c>
    </row>
    <row r="285" spans="1:1" x14ac:dyDescent="0.25">
      <c r="A285" s="5" t="s">
        <v>284</v>
      </c>
    </row>
    <row r="286" spans="1:1" x14ac:dyDescent="0.25">
      <c r="A286" s="5" t="s">
        <v>285</v>
      </c>
    </row>
    <row r="287" spans="1:1" x14ac:dyDescent="0.25">
      <c r="A287" s="5" t="s">
        <v>286</v>
      </c>
    </row>
    <row r="288" spans="1:1" x14ac:dyDescent="0.25">
      <c r="A288" s="5" t="s">
        <v>287</v>
      </c>
    </row>
    <row r="289" spans="1:1" x14ac:dyDescent="0.25">
      <c r="A289" s="5" t="s">
        <v>288</v>
      </c>
    </row>
    <row r="290" spans="1:1" x14ac:dyDescent="0.25">
      <c r="A290" s="5" t="s">
        <v>289</v>
      </c>
    </row>
    <row r="291" spans="1:1" x14ac:dyDescent="0.25">
      <c r="A291" s="5" t="s">
        <v>290</v>
      </c>
    </row>
    <row r="292" spans="1:1" x14ac:dyDescent="0.25">
      <c r="A292" s="5" t="s">
        <v>291</v>
      </c>
    </row>
    <row r="293" spans="1:1" x14ac:dyDescent="0.25">
      <c r="A293" s="5" t="s">
        <v>292</v>
      </c>
    </row>
    <row r="294" spans="1:1" x14ac:dyDescent="0.25">
      <c r="A294" s="5" t="s">
        <v>293</v>
      </c>
    </row>
    <row r="295" spans="1:1" x14ac:dyDescent="0.25">
      <c r="A295" s="5" t="s">
        <v>294</v>
      </c>
    </row>
    <row r="296" spans="1:1" x14ac:dyDescent="0.25">
      <c r="A296" s="5" t="s">
        <v>295</v>
      </c>
    </row>
    <row r="297" spans="1:1" x14ac:dyDescent="0.25">
      <c r="A297" s="5" t="s">
        <v>296</v>
      </c>
    </row>
    <row r="298" spans="1:1" x14ac:dyDescent="0.25">
      <c r="A298" s="5" t="s">
        <v>297</v>
      </c>
    </row>
    <row r="299" spans="1:1" x14ac:dyDescent="0.25">
      <c r="A299" s="5" t="s">
        <v>298</v>
      </c>
    </row>
    <row r="300" spans="1:1" x14ac:dyDescent="0.25">
      <c r="A300" s="5" t="s">
        <v>299</v>
      </c>
    </row>
    <row r="301" spans="1:1" x14ac:dyDescent="0.25">
      <c r="A301" s="5" t="s">
        <v>300</v>
      </c>
    </row>
    <row r="302" spans="1:1" x14ac:dyDescent="0.25">
      <c r="A302" s="5" t="s">
        <v>301</v>
      </c>
    </row>
    <row r="303" spans="1:1" x14ac:dyDescent="0.25">
      <c r="A303" s="5" t="s">
        <v>302</v>
      </c>
    </row>
    <row r="304" spans="1:1" x14ac:dyDescent="0.25">
      <c r="A304" s="5" t="s">
        <v>303</v>
      </c>
    </row>
    <row r="305" spans="1:1" x14ac:dyDescent="0.25">
      <c r="A305" s="5" t="s">
        <v>304</v>
      </c>
    </row>
    <row r="306" spans="1:1" x14ac:dyDescent="0.25">
      <c r="A306" s="5" t="s">
        <v>305</v>
      </c>
    </row>
    <row r="307" spans="1:1" x14ac:dyDescent="0.25">
      <c r="A307" s="5" t="s">
        <v>306</v>
      </c>
    </row>
    <row r="308" spans="1:1" x14ac:dyDescent="0.25">
      <c r="A308" s="5" t="s">
        <v>307</v>
      </c>
    </row>
    <row r="309" spans="1:1" x14ac:dyDescent="0.25">
      <c r="A309" s="5" t="s">
        <v>308</v>
      </c>
    </row>
    <row r="310" spans="1:1" x14ac:dyDescent="0.25">
      <c r="A310" s="5" t="s">
        <v>309</v>
      </c>
    </row>
    <row r="311" spans="1:1" x14ac:dyDescent="0.25">
      <c r="A311" s="5" t="s">
        <v>310</v>
      </c>
    </row>
    <row r="312" spans="1:1" x14ac:dyDescent="0.25">
      <c r="A312" s="5" t="s">
        <v>311</v>
      </c>
    </row>
    <row r="313" spans="1:1" x14ac:dyDescent="0.25">
      <c r="A313" s="5" t="s">
        <v>312</v>
      </c>
    </row>
    <row r="314" spans="1:1" x14ac:dyDescent="0.25">
      <c r="A314" s="5" t="s">
        <v>313</v>
      </c>
    </row>
    <row r="315" spans="1:1" x14ac:dyDescent="0.25">
      <c r="A315" s="5" t="s">
        <v>314</v>
      </c>
    </row>
    <row r="316" spans="1:1" x14ac:dyDescent="0.25">
      <c r="A316" s="5" t="s">
        <v>315</v>
      </c>
    </row>
    <row r="317" spans="1:1" x14ac:dyDescent="0.25">
      <c r="A317" s="5" t="s">
        <v>316</v>
      </c>
    </row>
    <row r="318" spans="1:1" x14ac:dyDescent="0.25">
      <c r="A318" s="5" t="s">
        <v>317</v>
      </c>
    </row>
    <row r="319" spans="1:1" x14ac:dyDescent="0.25">
      <c r="A319" s="5" t="s">
        <v>318</v>
      </c>
    </row>
    <row r="320" spans="1:1" x14ac:dyDescent="0.25">
      <c r="A320" s="5" t="s">
        <v>319</v>
      </c>
    </row>
    <row r="321" spans="1:1" x14ac:dyDescent="0.25">
      <c r="A321" s="5" t="s">
        <v>320</v>
      </c>
    </row>
    <row r="322" spans="1:1" x14ac:dyDescent="0.25">
      <c r="A322" s="5" t="s">
        <v>321</v>
      </c>
    </row>
    <row r="323" spans="1:1" x14ac:dyDescent="0.25">
      <c r="A323" s="5" t="s">
        <v>322</v>
      </c>
    </row>
    <row r="324" spans="1:1" x14ac:dyDescent="0.25">
      <c r="A324" s="5" t="s">
        <v>323</v>
      </c>
    </row>
    <row r="325" spans="1:1" x14ac:dyDescent="0.25">
      <c r="A325" s="5" t="s">
        <v>324</v>
      </c>
    </row>
    <row r="326" spans="1:1" x14ac:dyDescent="0.25">
      <c r="A326" s="5" t="s">
        <v>325</v>
      </c>
    </row>
    <row r="327" spans="1:1" x14ac:dyDescent="0.25">
      <c r="A327" s="5" t="s">
        <v>326</v>
      </c>
    </row>
    <row r="328" spans="1:1" x14ac:dyDescent="0.25">
      <c r="A328" s="5" t="s">
        <v>327</v>
      </c>
    </row>
    <row r="329" spans="1:1" x14ac:dyDescent="0.25">
      <c r="A329" s="5" t="s">
        <v>328</v>
      </c>
    </row>
    <row r="330" spans="1:1" x14ac:dyDescent="0.25">
      <c r="A330" s="5" t="s">
        <v>329</v>
      </c>
    </row>
    <row r="331" spans="1:1" x14ac:dyDescent="0.25">
      <c r="A331" s="5" t="s">
        <v>330</v>
      </c>
    </row>
    <row r="332" spans="1:1" x14ac:dyDescent="0.25">
      <c r="A332" s="5" t="s">
        <v>331</v>
      </c>
    </row>
    <row r="333" spans="1:1" x14ac:dyDescent="0.25">
      <c r="A333" s="5" t="s">
        <v>332</v>
      </c>
    </row>
    <row r="334" spans="1:1" x14ac:dyDescent="0.25">
      <c r="A334" s="5" t="s">
        <v>333</v>
      </c>
    </row>
    <row r="335" spans="1:1" x14ac:dyDescent="0.25">
      <c r="A335" s="5" t="s">
        <v>334</v>
      </c>
    </row>
    <row r="336" spans="1:1" x14ac:dyDescent="0.25">
      <c r="A336" s="5" t="s">
        <v>335</v>
      </c>
    </row>
    <row r="337" spans="1:1" x14ac:dyDescent="0.25">
      <c r="A337" s="5" t="s">
        <v>336</v>
      </c>
    </row>
    <row r="338" spans="1:1" x14ac:dyDescent="0.25">
      <c r="A338" s="5" t="s">
        <v>337</v>
      </c>
    </row>
    <row r="339" spans="1:1" x14ac:dyDescent="0.25">
      <c r="A339" s="5" t="s">
        <v>338</v>
      </c>
    </row>
    <row r="340" spans="1:1" x14ac:dyDescent="0.25">
      <c r="A340" s="5" t="s">
        <v>339</v>
      </c>
    </row>
    <row r="341" spans="1:1" x14ac:dyDescent="0.25">
      <c r="A341" s="5" t="s">
        <v>340</v>
      </c>
    </row>
    <row r="342" spans="1:1" x14ac:dyDescent="0.25">
      <c r="A342" s="5" t="s">
        <v>341</v>
      </c>
    </row>
    <row r="343" spans="1:1" x14ac:dyDescent="0.25">
      <c r="A343" s="5" t="s">
        <v>342</v>
      </c>
    </row>
    <row r="344" spans="1:1" x14ac:dyDescent="0.25">
      <c r="A344" s="5" t="s">
        <v>343</v>
      </c>
    </row>
    <row r="345" spans="1:1" x14ac:dyDescent="0.25">
      <c r="A345" s="5" t="s">
        <v>344</v>
      </c>
    </row>
    <row r="346" spans="1:1" x14ac:dyDescent="0.25">
      <c r="A346" s="5" t="s">
        <v>345</v>
      </c>
    </row>
    <row r="347" spans="1:1" x14ac:dyDescent="0.25">
      <c r="A347" s="5" t="s">
        <v>346</v>
      </c>
    </row>
    <row r="348" spans="1:1" x14ac:dyDescent="0.25">
      <c r="A348" s="5" t="s">
        <v>347</v>
      </c>
    </row>
    <row r="349" spans="1:1" x14ac:dyDescent="0.25">
      <c r="A349" s="5" t="s">
        <v>348</v>
      </c>
    </row>
    <row r="350" spans="1:1" x14ac:dyDescent="0.25">
      <c r="A350" s="5" t="s">
        <v>349</v>
      </c>
    </row>
    <row r="351" spans="1:1" x14ac:dyDescent="0.25">
      <c r="A351" s="5" t="s">
        <v>350</v>
      </c>
    </row>
    <row r="352" spans="1:1" x14ac:dyDescent="0.25">
      <c r="A352" s="5" t="s">
        <v>351</v>
      </c>
    </row>
    <row r="353" spans="1:1" x14ac:dyDescent="0.25">
      <c r="A353" s="5" t="s">
        <v>352</v>
      </c>
    </row>
    <row r="354" spans="1:1" x14ac:dyDescent="0.25">
      <c r="A354" s="5" t="s">
        <v>353</v>
      </c>
    </row>
    <row r="355" spans="1:1" x14ac:dyDescent="0.25">
      <c r="A355" s="5" t="s">
        <v>354</v>
      </c>
    </row>
    <row r="356" spans="1:1" x14ac:dyDescent="0.25">
      <c r="A356" s="5" t="s">
        <v>355</v>
      </c>
    </row>
    <row r="357" spans="1:1" x14ac:dyDescent="0.25">
      <c r="A357" s="5" t="s">
        <v>356</v>
      </c>
    </row>
    <row r="358" spans="1:1" x14ac:dyDescent="0.25">
      <c r="A358" s="5" t="s">
        <v>357</v>
      </c>
    </row>
    <row r="359" spans="1:1" x14ac:dyDescent="0.25">
      <c r="A359" s="5" t="s">
        <v>358</v>
      </c>
    </row>
    <row r="360" spans="1:1" x14ac:dyDescent="0.25">
      <c r="A360" s="5" t="s">
        <v>359</v>
      </c>
    </row>
    <row r="361" spans="1:1" x14ac:dyDescent="0.25">
      <c r="A361" s="5" t="s">
        <v>360</v>
      </c>
    </row>
    <row r="362" spans="1:1" x14ac:dyDescent="0.25">
      <c r="A362" s="5" t="s">
        <v>361</v>
      </c>
    </row>
    <row r="363" spans="1:1" x14ac:dyDescent="0.25">
      <c r="A363" s="5" t="s">
        <v>362</v>
      </c>
    </row>
    <row r="364" spans="1:1" x14ac:dyDescent="0.25">
      <c r="A364" s="5" t="s">
        <v>363</v>
      </c>
    </row>
    <row r="365" spans="1:1" x14ac:dyDescent="0.25">
      <c r="A365" s="5" t="s">
        <v>364</v>
      </c>
    </row>
    <row r="366" spans="1:1" x14ac:dyDescent="0.25">
      <c r="A366" s="5" t="s">
        <v>365</v>
      </c>
    </row>
    <row r="367" spans="1:1" x14ac:dyDescent="0.25">
      <c r="A367" s="5" t="s">
        <v>366</v>
      </c>
    </row>
    <row r="368" spans="1:1" x14ac:dyDescent="0.25">
      <c r="A368" s="5" t="s">
        <v>367</v>
      </c>
    </row>
    <row r="369" spans="1:1" x14ac:dyDescent="0.25">
      <c r="A369" s="5" t="s">
        <v>368</v>
      </c>
    </row>
    <row r="370" spans="1:1" x14ac:dyDescent="0.25">
      <c r="A370" s="5" t="s">
        <v>369</v>
      </c>
    </row>
    <row r="371" spans="1:1" x14ac:dyDescent="0.25">
      <c r="A371" s="5" t="s">
        <v>370</v>
      </c>
    </row>
    <row r="372" spans="1:1" x14ac:dyDescent="0.25">
      <c r="A372" s="5" t="s">
        <v>371</v>
      </c>
    </row>
    <row r="373" spans="1:1" x14ac:dyDescent="0.25">
      <c r="A373" s="5" t="s">
        <v>372</v>
      </c>
    </row>
    <row r="374" spans="1:1" x14ac:dyDescent="0.25">
      <c r="A374" s="5" t="s">
        <v>373</v>
      </c>
    </row>
    <row r="375" spans="1:1" x14ac:dyDescent="0.25">
      <c r="A375" s="5" t="s">
        <v>374</v>
      </c>
    </row>
    <row r="376" spans="1:1" x14ac:dyDescent="0.25">
      <c r="A376" s="5" t="s">
        <v>375</v>
      </c>
    </row>
    <row r="377" spans="1:1" x14ac:dyDescent="0.25">
      <c r="A377" s="5" t="s">
        <v>376</v>
      </c>
    </row>
    <row r="378" spans="1:1" x14ac:dyDescent="0.25">
      <c r="A378" s="5" t="s">
        <v>377</v>
      </c>
    </row>
    <row r="379" spans="1:1" x14ac:dyDescent="0.25">
      <c r="A379" s="5" t="s">
        <v>378</v>
      </c>
    </row>
    <row r="380" spans="1:1" x14ac:dyDescent="0.25">
      <c r="A380" s="5" t="s">
        <v>379</v>
      </c>
    </row>
    <row r="381" spans="1:1" x14ac:dyDescent="0.25">
      <c r="A381" s="5" t="s">
        <v>380</v>
      </c>
    </row>
    <row r="382" spans="1:1" x14ac:dyDescent="0.25">
      <c r="A382" s="5" t="s">
        <v>381</v>
      </c>
    </row>
    <row r="383" spans="1:1" x14ac:dyDescent="0.25">
      <c r="A383" s="5" t="s">
        <v>382</v>
      </c>
    </row>
    <row r="384" spans="1:1" x14ac:dyDescent="0.25">
      <c r="A384" s="5" t="s">
        <v>383</v>
      </c>
    </row>
    <row r="385" spans="1:1" x14ac:dyDescent="0.25">
      <c r="A385" s="5" t="s">
        <v>384</v>
      </c>
    </row>
    <row r="386" spans="1:1" x14ac:dyDescent="0.25">
      <c r="A386" s="5" t="s">
        <v>385</v>
      </c>
    </row>
    <row r="387" spans="1:1" x14ac:dyDescent="0.25">
      <c r="A387" s="5" t="s">
        <v>386</v>
      </c>
    </row>
    <row r="388" spans="1:1" x14ac:dyDescent="0.25">
      <c r="A388" s="5" t="s">
        <v>387</v>
      </c>
    </row>
    <row r="389" spans="1:1" x14ac:dyDescent="0.25">
      <c r="A389" s="5" t="s">
        <v>388</v>
      </c>
    </row>
    <row r="390" spans="1:1" x14ac:dyDescent="0.25">
      <c r="A390" s="5" t="s">
        <v>389</v>
      </c>
    </row>
    <row r="391" spans="1:1" x14ac:dyDescent="0.25">
      <c r="A391" s="5" t="s">
        <v>390</v>
      </c>
    </row>
    <row r="392" spans="1:1" x14ac:dyDescent="0.25">
      <c r="A392" s="5" t="s">
        <v>391</v>
      </c>
    </row>
    <row r="393" spans="1:1" x14ac:dyDescent="0.25">
      <c r="A393" s="5" t="s">
        <v>392</v>
      </c>
    </row>
    <row r="394" spans="1:1" x14ac:dyDescent="0.25">
      <c r="A394" s="5" t="s">
        <v>393</v>
      </c>
    </row>
    <row r="395" spans="1:1" x14ac:dyDescent="0.25">
      <c r="A395" s="5" t="s">
        <v>394</v>
      </c>
    </row>
    <row r="396" spans="1:1" x14ac:dyDescent="0.25">
      <c r="A396" s="5" t="s">
        <v>395</v>
      </c>
    </row>
    <row r="397" spans="1:1" x14ac:dyDescent="0.25">
      <c r="A397" s="5" t="s">
        <v>396</v>
      </c>
    </row>
    <row r="398" spans="1:1" x14ac:dyDescent="0.25">
      <c r="A398" s="5" t="s">
        <v>397</v>
      </c>
    </row>
    <row r="399" spans="1:1" x14ac:dyDescent="0.25">
      <c r="A399" s="5" t="s">
        <v>398</v>
      </c>
    </row>
    <row r="400" spans="1:1" x14ac:dyDescent="0.25">
      <c r="A400" s="5" t="s">
        <v>399</v>
      </c>
    </row>
    <row r="401" spans="1:1" x14ac:dyDescent="0.25">
      <c r="A401" s="5" t="s">
        <v>400</v>
      </c>
    </row>
    <row r="402" spans="1:1" x14ac:dyDescent="0.25">
      <c r="A402" s="5" t="s">
        <v>401</v>
      </c>
    </row>
    <row r="403" spans="1:1" x14ac:dyDescent="0.25">
      <c r="A403" s="5" t="s">
        <v>402</v>
      </c>
    </row>
    <row r="404" spans="1:1" x14ac:dyDescent="0.25">
      <c r="A404" s="5" t="s">
        <v>403</v>
      </c>
    </row>
    <row r="405" spans="1:1" x14ac:dyDescent="0.25">
      <c r="A405" s="5" t="s">
        <v>404</v>
      </c>
    </row>
    <row r="406" spans="1:1" x14ac:dyDescent="0.25">
      <c r="A406" s="5" t="s">
        <v>405</v>
      </c>
    </row>
    <row r="407" spans="1:1" x14ac:dyDescent="0.25">
      <c r="A407" s="5" t="s">
        <v>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7B168F-C012-403A-A242-669123F32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dataset_2025-11-17T12_56_18.236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RAVONNEAUX ALEXAN</dc:creator>
  <cp:lastModifiedBy>RAVONNEAUX ALEXAN</cp:lastModifiedBy>
  <dcterms:created xsi:type="dcterms:W3CDTF">2025-11-17T13:05:29Z</dcterms:created>
  <dcterms:modified xsi:type="dcterms:W3CDTF">2025-11-17T15:30:43Z</dcterms:modified>
</cp:coreProperties>
</file>